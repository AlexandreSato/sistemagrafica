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a6cidade2\CSC\25 DIVERSOS\SISTEMA_GRAFICA\"/>
    </mc:Choice>
  </mc:AlternateContent>
  <xr:revisionPtr revIDLastSave="0" documentId="8_{DA714FB3-E53F-4A62-81B7-58577B098668}" xr6:coauthVersionLast="46" xr6:coauthVersionMax="46" xr10:uidLastSave="{00000000-0000-0000-0000-000000000000}"/>
  <bookViews>
    <workbookView xWindow="-120" yWindow="-120" windowWidth="38640" windowHeight="15840" tabRatio="615" activeTab="1" xr2:uid="{00000000-000D-0000-FFFF-FFFF00000000}"/>
  </bookViews>
  <sheets>
    <sheet name="Home" sheetId="15" r:id="rId1"/>
    <sheet name="ES Forms" sheetId="13" r:id="rId2"/>
    <sheet name="ES Diversos" sheetId="18" r:id="rId3"/>
    <sheet name=" Matriz Base" sheetId="14" r:id="rId4"/>
    <sheet name="Matriz PSP" sheetId="19" r:id="rId5"/>
    <sheet name="Base Forms" sheetId="1" r:id="rId6"/>
    <sheet name="Base PSP" sheetId="7" r:id="rId7"/>
    <sheet name="Base Enderecos" sheetId="6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\0" localSheetId="6">#REF!</definedName>
    <definedName name="\0">#REF!</definedName>
    <definedName name="\a" localSheetId="6">#REF!</definedName>
    <definedName name="\a">#REF!</definedName>
    <definedName name="\c" localSheetId="6">#REF!</definedName>
    <definedName name="\c">#REF!</definedName>
    <definedName name="\D" localSheetId="6">#REF!</definedName>
    <definedName name="\D">#REF!</definedName>
    <definedName name="\f" localSheetId="6">#REF!</definedName>
    <definedName name="\f">#REF!</definedName>
    <definedName name="\i" localSheetId="6">#REF!</definedName>
    <definedName name="\i">#REF!</definedName>
    <definedName name="\k" localSheetId="6">#REF!</definedName>
    <definedName name="\k">#REF!</definedName>
    <definedName name="\M" localSheetId="6">#REF!</definedName>
    <definedName name="\M">#REF!</definedName>
    <definedName name="\q" localSheetId="6">[1]Fechamento!#REF!</definedName>
    <definedName name="\q">[1]Fechamento!#REF!</definedName>
    <definedName name="\r" localSheetId="6">#REF!</definedName>
    <definedName name="\r">#REF!</definedName>
    <definedName name="\T" localSheetId="6">#REF!</definedName>
    <definedName name="\T">#REF!</definedName>
    <definedName name="\z" localSheetId="6">#REF!</definedName>
    <definedName name="\z">#REF!</definedName>
    <definedName name="_________LOT1">"$#REF!.$#REF!$#REF!"</definedName>
    <definedName name="_________LOT10">"$#REF!.$#REF!$#REF!"</definedName>
    <definedName name="_________LOT2">"$#REF!.$#REF!$#REF!"</definedName>
    <definedName name="_________LOT3">"$#REF!.$#REF!$#REF!"</definedName>
    <definedName name="_________LOT4">"$#REF!.$#REF!$#REF!"</definedName>
    <definedName name="_________LOT5">"$#REF!.$#REF!$#REF!"</definedName>
    <definedName name="_________LOT6">"$#REF!.$#REF!$#REF!"</definedName>
    <definedName name="_________LOT7">"$#REF!.$#REF!$#REF!"</definedName>
    <definedName name="_________LOT8">"$#REF!.$#REF!$#REF!"</definedName>
    <definedName name="_________LOT9">"$#REF!.$#REF!$#REF!"</definedName>
    <definedName name="________LOT1">"$#REF!.$#REF!$#REF!"</definedName>
    <definedName name="________LOT10">"$#REF!.$#REF!$#REF!"</definedName>
    <definedName name="________LOT2">"$#REF!.$#REF!$#REF!"</definedName>
    <definedName name="________LOT3">"$#REF!.$#REF!$#REF!"</definedName>
    <definedName name="________LOT4">"$#REF!.$#REF!$#REF!"</definedName>
    <definedName name="________LOT5">"$#REF!.$#REF!$#REF!"</definedName>
    <definedName name="________LOT6">"$#REF!.$#REF!$#REF!"</definedName>
    <definedName name="________LOT7">"$#REF!.$#REF!$#REF!"</definedName>
    <definedName name="________LOT8">"$#REF!.$#REF!$#REF!"</definedName>
    <definedName name="________LOT9">"$#REF!.$#REF!$#REF!"</definedName>
    <definedName name="_______LOT1">"$#REF!.$#REF!$#REF!"</definedName>
    <definedName name="_______LOT10">"$#REF!.$#REF!$#REF!"</definedName>
    <definedName name="_______LOT2">"$#REF!.$#REF!$#REF!"</definedName>
    <definedName name="_______LOT3">"$#REF!.$#REF!$#REF!"</definedName>
    <definedName name="_______LOT4">"$#REF!.$#REF!$#REF!"</definedName>
    <definedName name="_______LOT5">"$#REF!.$#REF!$#REF!"</definedName>
    <definedName name="_______LOT6">"$#REF!.$#REF!$#REF!"</definedName>
    <definedName name="_______LOT7">"$#REF!.$#REF!$#REF!"</definedName>
    <definedName name="_______LOT8">"$#REF!.$#REF!$#REF!"</definedName>
    <definedName name="_______LOT9">"$#REF!.$#REF!$#REF!"</definedName>
    <definedName name="______LOT1">"$#REF!.$#REF!$#REF!"</definedName>
    <definedName name="______LOT10">"$#REF!.$#REF!$#REF!"</definedName>
    <definedName name="______LOT2">"$#REF!.$#REF!$#REF!"</definedName>
    <definedName name="______LOT3">"$#REF!.$#REF!$#REF!"</definedName>
    <definedName name="______LOT4">"$#REF!.$#REF!$#REF!"</definedName>
    <definedName name="______LOT5">"$#REF!.$#REF!$#REF!"</definedName>
    <definedName name="______LOT6">"$#REF!.$#REF!$#REF!"</definedName>
    <definedName name="______LOT7">"$#REF!.$#REF!$#REF!"</definedName>
    <definedName name="______LOT8">"$#REF!.$#REF!$#REF!"</definedName>
    <definedName name="______LOT9">"$#REF!.$#REF!$#REF!"</definedName>
    <definedName name="_____LOT1">"$#REF!.$#REF!$#REF!"</definedName>
    <definedName name="_____LOT10">"$#REF!.$#REF!$#REF!"</definedName>
    <definedName name="_____LOT2">"$#REF!.$#REF!$#REF!"</definedName>
    <definedName name="_____LOT3">"$#REF!.$#REF!$#REF!"</definedName>
    <definedName name="_____LOT4">"$#REF!.$#REF!$#REF!"</definedName>
    <definedName name="_____LOT5">"$#REF!.$#REF!$#REF!"</definedName>
    <definedName name="_____LOT6">"$#REF!.$#REF!$#REF!"</definedName>
    <definedName name="_____LOT7">"$#REF!.$#REF!$#REF!"</definedName>
    <definedName name="_____LOT8">"$#REF!.$#REF!$#REF!"</definedName>
    <definedName name="_____LOT9">"$#REF!.$#REF!$#REF!"</definedName>
    <definedName name="____LOT1">"$#REF!.$#REF!$#REF!"</definedName>
    <definedName name="____LOT10">"$#REF!.$#REF!$#REF!"</definedName>
    <definedName name="____LOT2">"$#REF!.$#REF!$#REF!"</definedName>
    <definedName name="____LOT3">"$#REF!.$#REF!$#REF!"</definedName>
    <definedName name="____LOT4">"$#REF!.$#REF!$#REF!"</definedName>
    <definedName name="____LOT5">"$#REF!.$#REF!$#REF!"</definedName>
    <definedName name="____LOT6">"$#REF!.$#REF!$#REF!"</definedName>
    <definedName name="____LOT7">"$#REF!.$#REF!$#REF!"</definedName>
    <definedName name="____LOT8">"$#REF!.$#REF!$#REF!"</definedName>
    <definedName name="____LOT9">"$#REF!.$#REF!$#REF!"</definedName>
    <definedName name="___LOT1">"$#REF!.$#REF!$#REF!"</definedName>
    <definedName name="___LOT10">"$#REF!.$#REF!$#REF!"</definedName>
    <definedName name="___LOT2">"$#REF!.$#REF!$#REF!"</definedName>
    <definedName name="___LOT3">"$#REF!.$#REF!$#REF!"</definedName>
    <definedName name="___LOT4">"$#REF!.$#REF!$#REF!"</definedName>
    <definedName name="___LOT5">"$#REF!.$#REF!$#REF!"</definedName>
    <definedName name="___LOT6">"$#REF!.$#REF!$#REF!"</definedName>
    <definedName name="___LOT7">"$#REF!.$#REF!$#REF!"</definedName>
    <definedName name="___LOT8">"$#REF!.$#REF!$#REF!"</definedName>
    <definedName name="___LOT9">"$#REF!.$#REF!$#REF!"</definedName>
    <definedName name="__LOT1">"$#REF!.$#REF!$#REF!"</definedName>
    <definedName name="__LOT10">"$#REF!.$#REF!$#REF!"</definedName>
    <definedName name="__LOT2">"$#REF!.$#REF!$#REF!"</definedName>
    <definedName name="__LOT3">"$#REF!.$#REF!$#REF!"</definedName>
    <definedName name="__LOT4">"$#REF!.$#REF!$#REF!"</definedName>
    <definedName name="__LOT5">"$#REF!.$#REF!$#REF!"</definedName>
    <definedName name="__LOT6">"$#REF!.$#REF!$#REF!"</definedName>
    <definedName name="__LOT7">"$#REF!.$#REF!$#REF!"</definedName>
    <definedName name="__LOT8">"$#REF!.$#REF!$#REF!"</definedName>
    <definedName name="__LOT9">"$#REF!.$#REF!$#REF!"</definedName>
    <definedName name="_0" localSheetId="6">#REF!</definedName>
    <definedName name="_0">#REF!</definedName>
    <definedName name="_1" localSheetId="6">#REF!</definedName>
    <definedName name="_1">#REF!</definedName>
    <definedName name="_1_Fill_1" localSheetId="6">#REF!</definedName>
    <definedName name="_1_Fill_1">#REF!</definedName>
    <definedName name="_10DRE_1" localSheetId="6">'[2]km 26'!#REF!</definedName>
    <definedName name="_10DRE_1">'[2]km 26'!#REF!</definedName>
    <definedName name="_11EURO_1" localSheetId="6">#REF!</definedName>
    <definedName name="_11EURO_1">#REF!</definedName>
    <definedName name="_123" localSheetId="6">#REF!</definedName>
    <definedName name="_123">#REF!</definedName>
    <definedName name="_1234" localSheetId="6">#REF!</definedName>
    <definedName name="_1234">#REF!</definedName>
    <definedName name="_12Excel_BuiltIn_Print_Area_6" localSheetId="6">#REF!</definedName>
    <definedName name="_12Excel_BuiltIn_Print_Area_6">#REF!</definedName>
    <definedName name="_13Excel_BuiltIn_Print_Titles_6" localSheetId="6">#REF!</definedName>
    <definedName name="_13Excel_BuiltIn_Print_Titles_6">#REF!</definedName>
    <definedName name="_14FFR_1" localSheetId="6">#REF!</definedName>
    <definedName name="_14FFR_1">#REF!</definedName>
    <definedName name="_15GBP_1" localSheetId="6">#REF!</definedName>
    <definedName name="_15GBP_1">#REF!</definedName>
    <definedName name="_16histo_1" localSheetId="6">#REF!</definedName>
    <definedName name="_16histo_1">#REF!</definedName>
    <definedName name="_17IRP_1" localSheetId="6">#REF!</definedName>
    <definedName name="_17IRP_1">#REF!</definedName>
    <definedName name="_18ISS_1" localSheetId="6">#REF!</definedName>
    <definedName name="_18ISS_1">#REF!</definedName>
    <definedName name="_19ISS_2" localSheetId="6">#REF!</definedName>
    <definedName name="_19ISS_2">#REF!</definedName>
    <definedName name="_1Excel_BuiltIn_Print_Area_1_1">"$#REF!.$A$1:$H$54"</definedName>
    <definedName name="_1Excel_BuiltIn_Print_Area_15_1">"$#REF!.$A$1:$N$64"</definedName>
    <definedName name="_1Excel_BuiltIn_Print_Area_3_1">"$#REF!.$A$3:$F$60"</definedName>
    <definedName name="_1Sin_nombre" localSheetId="6">#REF!</definedName>
    <definedName name="_1Sin_nombre">#REF!</definedName>
    <definedName name="_2" localSheetId="6">#REF!</definedName>
    <definedName name="_2">#REF!</definedName>
    <definedName name="_2_Key1_1" localSheetId="6">#REF!</definedName>
    <definedName name="_2_Key1_1">#REF!</definedName>
    <definedName name="_20Line_1" localSheetId="6">#REF!</definedName>
    <definedName name="_20Line_1">#REF!</definedName>
    <definedName name="_21LS_1" localSheetId="6">'[3]M.O.'!#REF!</definedName>
    <definedName name="_21LS_1">'[3]M.O.'!#REF!</definedName>
    <definedName name="_22MULT_1" localSheetId="6">[4]plan!#REF!</definedName>
    <definedName name="_22MULT_1">[4]plan!#REF!</definedName>
    <definedName name="_23neiva_1" localSheetId="6">#REF!</definedName>
    <definedName name="_23neiva_1">#REF!</definedName>
    <definedName name="_24OAE_1" localSheetId="6">'[2]km 26'!#REF!</definedName>
    <definedName name="_24OAE_1">'[2]km 26'!#REF!</definedName>
    <definedName name="_25PAV_1" localSheetId="6">'[2]km 26'!#REF!</definedName>
    <definedName name="_25PAV_1">'[2]km 26'!#REF!</definedName>
    <definedName name="_26PRE_1" localSheetId="6">'[2]km 26'!#REF!</definedName>
    <definedName name="_26PRE_1">'[2]km 26'!#REF!</definedName>
    <definedName name="_27REV_1" localSheetId="6">'[2]km 26'!#REF!</definedName>
    <definedName name="_27REV_1">'[2]km 26'!#REF!</definedName>
    <definedName name="_28REV._1" localSheetId="6">#REF!</definedName>
    <definedName name="_28REV._1">#REF!</definedName>
    <definedName name="_29SEG_1" localSheetId="6">'[2]km 26'!#REF!</definedName>
    <definedName name="_29SEG_1">'[2]km 26'!#REF!</definedName>
    <definedName name="_2Excel_BuiltIn_Print_Area_3_1">"$#REF!.$A$1:$I$17"</definedName>
    <definedName name="_3_Key2_1" localSheetId="6">#REF!</definedName>
    <definedName name="_3_Key2_1">#REF!</definedName>
    <definedName name="_30SIH_1" localSheetId="6">'[2]km 26'!#REF!</definedName>
    <definedName name="_30SIH_1">'[2]km 26'!#REF!</definedName>
    <definedName name="_31SIV_1" localSheetId="6">'[2]km 26'!#REF!</definedName>
    <definedName name="_31SIV_1">'[2]km 26'!#REF!</definedName>
    <definedName name="_32sm_1" localSheetId="6">#REF!</definedName>
    <definedName name="_32sm_1">#REF!</definedName>
    <definedName name="_33SM_2" localSheetId="6">#REF!</definedName>
    <definedName name="_33SM_2">#REF!</definedName>
    <definedName name="_34Títulos_impressão_IM_1" localSheetId="6">[5]MCBR!#REF!</definedName>
    <definedName name="_34Títulos_impressão_IM_1">[5]MCBR!#REF!</definedName>
    <definedName name="_35TRP_1" localSheetId="6">'[2]km 26'!#REF!</definedName>
    <definedName name="_35TRP_1">'[2]km 26'!#REF!</definedName>
    <definedName name="_3Excel_BuiltIn_Print_Area_4_1">"$#REF!.$A$1:$H$26"</definedName>
    <definedName name="_4_Sort_1" localSheetId="6">#REF!</definedName>
    <definedName name="_4_Sort_1">#REF!</definedName>
    <definedName name="_5CHF_1" localSheetId="6">#REF!</definedName>
    <definedName name="_5CHF_1">#REF!</definedName>
    <definedName name="_6COFINS_1" localSheetId="6">#REF!</definedName>
    <definedName name="_6COFINS_1">#REF!</definedName>
    <definedName name="_7cofins_2" localSheetId="6">#REF!</definedName>
    <definedName name="_7cofins_2">#REF!</definedName>
    <definedName name="_8ct_1" localSheetId="6">#REF!</definedName>
    <definedName name="_8ct_1">#REF!</definedName>
    <definedName name="_9DM_1" localSheetId="6">#REF!</definedName>
    <definedName name="_9DM_1">#REF!</definedName>
    <definedName name="_a" localSheetId="6">#REF!</definedName>
    <definedName name="_a">#REF!</definedName>
    <definedName name="_BBM003" localSheetId="6">#REF!</definedName>
    <definedName name="_BBM003">#REF!</definedName>
    <definedName name="_bdi1">1.26</definedName>
    <definedName name="_c" localSheetId="6">#REF!</definedName>
    <definedName name="_c">#REF!</definedName>
    <definedName name="_D" localSheetId="6">#REF!</definedName>
    <definedName name="_D">#REF!</definedName>
    <definedName name="_edn1_15">#N/A</definedName>
    <definedName name="_edn2_15">#N/A</definedName>
    <definedName name="_edn3_15">#N/A</definedName>
    <definedName name="_ednref1_15" localSheetId="6">#REF!</definedName>
    <definedName name="_ednref1_15">#REF!</definedName>
    <definedName name="_ednref2_15" localSheetId="6">#REF!</definedName>
    <definedName name="_ednref2_15">#REF!</definedName>
    <definedName name="_ednref3_15" localSheetId="6">#REF!</definedName>
    <definedName name="_ednref3_15">#REF!</definedName>
    <definedName name="_f" localSheetId="6">#REF!</definedName>
    <definedName name="_f">#REF!</definedName>
    <definedName name="_Fill" localSheetId="6" hidden="1">#REF!</definedName>
    <definedName name="_Fill" hidden="1">#REF!</definedName>
    <definedName name="_fill4" localSheetId="6" hidden="1">#REF!</definedName>
    <definedName name="_fill4" hidden="1">#REF!</definedName>
    <definedName name="_xlnm._FilterDatabase" localSheetId="6" hidden="1">'Base PSP'!$A$6:$BJ$6</definedName>
    <definedName name="_i" localSheetId="6">#REF!</definedName>
    <definedName name="_i">#REF!</definedName>
    <definedName name="_k" localSheetId="6">#REF!</definedName>
    <definedName name="_k">#REF!</definedName>
    <definedName name="_Key1" localSheetId="6" hidden="1">#REF!</definedName>
    <definedName name="_Key1" hidden="1">#REF!</definedName>
    <definedName name="_Key2" localSheetId="6" hidden="1">#REF!</definedName>
    <definedName name="_Key2" hidden="1">#REF!</definedName>
    <definedName name="_LOT1">"$#REF!.$#REF!$#REF!"</definedName>
    <definedName name="_LOT10">"$#REF!.$#REF!$#REF!"</definedName>
    <definedName name="_LOT2">"$#REF!.$#REF!$#REF!"</definedName>
    <definedName name="_LOT3">"$#REF!.$#REF!$#REF!"</definedName>
    <definedName name="_LOT4">"$#REF!.$#REF!$#REF!"</definedName>
    <definedName name="_LOT5">"$#REF!.$#REF!$#REF!"</definedName>
    <definedName name="_LOT6">"$#REF!.$#REF!$#REF!"</definedName>
    <definedName name="_LOT7">"$#REF!.$#REF!$#REF!"</definedName>
    <definedName name="_LOT8">"$#REF!.$#REF!$#REF!"</definedName>
    <definedName name="_LOT9">"$#REF!.$#REF!$#REF!"</definedName>
    <definedName name="_M" localSheetId="6">#REF!</definedName>
    <definedName name="_M">#REF!</definedName>
    <definedName name="_Order1" hidden="1">255</definedName>
    <definedName name="_Order2" hidden="1">255</definedName>
    <definedName name="_q" localSheetId="6">[1]Fechamento!#REF!</definedName>
    <definedName name="_q">[1]Fechamento!#REF!</definedName>
    <definedName name="_r" localSheetId="6">#REF!</definedName>
    <definedName name="_r">#REF!</definedName>
    <definedName name="_Ref311663018_15" localSheetId="6">#REF!</definedName>
    <definedName name="_Ref311663018_15">#REF!</definedName>
    <definedName name="_Regression_Int">1</definedName>
    <definedName name="_Sort" localSheetId="6" hidden="1">#REF!</definedName>
    <definedName name="_Sort" hidden="1">#REF!</definedName>
    <definedName name="_sort4" localSheetId="6" hidden="1">#REF!</definedName>
    <definedName name="_sort4" hidden="1">#REF!</definedName>
    <definedName name="_T" localSheetId="6">#REF!</definedName>
    <definedName name="_T">#REF!</definedName>
    <definedName name="_z" localSheetId="6">#REF!</definedName>
    <definedName name="_z">#REF!</definedName>
    <definedName name="A" localSheetId="6">#REF!</definedName>
    <definedName name="a">#REF!</definedName>
    <definedName name="aaa" localSheetId="6">#REF!</definedName>
    <definedName name="aaa">#REF!</definedName>
    <definedName name="abc" localSheetId="6">#REF!</definedName>
    <definedName name="abc">#REF!</definedName>
    <definedName name="AccessDatabase" hidden="1">"C:\IBIRITERMO\INSTRUMENT LIST\F7_6820_000_520101_01draft2.mdb"</definedName>
    <definedName name="ACESSÓRIOS" localSheetId="6">#REF!</definedName>
    <definedName name="ACESSÓRIOS">#REF!</definedName>
    <definedName name="adadadad" localSheetId="6">#REF!</definedName>
    <definedName name="adadadad">#REF!</definedName>
    <definedName name="ADI" localSheetId="6">#REF!</definedName>
    <definedName name="ADI">#REF!</definedName>
    <definedName name="ADINTRA" localSheetId="6">#REF!</definedName>
    <definedName name="ADINTRA">#REF!</definedName>
    <definedName name="ADN" localSheetId="6">#REF!</definedName>
    <definedName name="ADN">#REF!</definedName>
    <definedName name="ADNOT">'[6]COMPARATIVO JERFERSON'!$B$6</definedName>
    <definedName name="AIR" localSheetId="6">#REF!</definedName>
    <definedName name="AIR">#REF!</definedName>
    <definedName name="Anális_econtrato_Teor_X_novo_contrato">NA()</definedName>
    <definedName name="Anális_econtrato_Teor_X_novo_contrato___0">"$#REF!.$H$#REF!:$M$#REF!"</definedName>
    <definedName name="AR" localSheetId="6">#REF!</definedName>
    <definedName name="AR">#REF!</definedName>
    <definedName name="AREA" localSheetId="6">#REF!</definedName>
    <definedName name="AREA">#REF!</definedName>
    <definedName name="_xlnm.Print_Area" localSheetId="2">'ES Diversos'!$A$3:$F$41</definedName>
    <definedName name="_xlnm.Print_Area" localSheetId="1">'ES Forms'!$A$3:$F$41</definedName>
    <definedName name="_xlnm.Print_Area">#REF!</definedName>
    <definedName name="Área_impressão_IM">#N/A</definedName>
    <definedName name="Área_impressão_IM___0">"$#REF!.$#REF!$#REF!:$#REF!$#REF!"</definedName>
    <definedName name="Área_impressão_IM___1">"$#REF!.$#REF!$#REF!:$#REF!$#REF!"</definedName>
    <definedName name="Área_impressão_IM___10">"$#REF!.$#REF!$#REF!:$#REF!$#REF!"</definedName>
    <definedName name="Área_impressão_IM___11">"$#REF!.$#REF!$#REF!:$#REF!$#REF!"</definedName>
    <definedName name="Área_impressão_IM___12">"$#REF!.$#REF!$#REF!:$#REF!$#REF!"</definedName>
    <definedName name="Área_impressão_IM___13">"$#REF!.$#REF!$#REF!:$#REF!$#REF!"</definedName>
    <definedName name="Área_impressão_IM___14">"$#REF!.$#REF!$#REF!:$#REF!$#REF!"</definedName>
    <definedName name="Área_impressão_IM___15">"$#REF!.$#REF!$#REF!:$#REF!$#REF!"</definedName>
    <definedName name="Área_impressão_IM___16">"$#REF!.$A$1:$B$597"</definedName>
    <definedName name="Área_impressão_IM___2">#N/A</definedName>
    <definedName name="Área_impressão_IM___3">"$#REF!.$#REF!$#REF!:$#REF!$#REF!"</definedName>
    <definedName name="Área_impressão_IM___4">"$#REF!.$#REF!$#REF!:$#REF!$#REF!"</definedName>
    <definedName name="Área_impressão_IM___5">#N/A</definedName>
    <definedName name="Área_impressão_IM___7">"$#REF!.$#REF!$#REF!:$#REF!$#REF!"</definedName>
    <definedName name="Área_impressão_IM___8">"$#REF!.$#REF!$#REF!:$#REF!$#REF!"</definedName>
    <definedName name="Área_impressão_IM___9">"$#REF!.$#REF!$#REF!:$#REF!$#REF!"</definedName>
    <definedName name="AREAS">[7]Legendas!$A$2:$A$25</definedName>
    <definedName name="ARMAMENTO" localSheetId="6">#REF!</definedName>
    <definedName name="ARMAMENTO">#REF!</definedName>
    <definedName name="Arqueologia_2" localSheetId="6">#REF!</definedName>
    <definedName name="Arqueologia_2">#REF!</definedName>
    <definedName name="as" localSheetId="6">#REF!</definedName>
    <definedName name="as">#REF!</definedName>
    <definedName name="asasasasasasasas" localSheetId="6">#REF!</definedName>
    <definedName name="asasasasasasasas">#REF!</definedName>
    <definedName name="at" localSheetId="6">#REF!</definedName>
    <definedName name="at">#REF!</definedName>
    <definedName name="aux" localSheetId="6">#REF!</definedName>
    <definedName name="aux">#REF!</definedName>
    <definedName name="auxiliar" localSheetId="6">#REF!</definedName>
    <definedName name="auxiliar">#REF!</definedName>
    <definedName name="Banco_dados_IM" localSheetId="6">#REF!</definedName>
    <definedName name="Banco_dados_IM">#REF!</definedName>
    <definedName name="_xlnm.Database" localSheetId="6">#REF!</definedName>
    <definedName name="_xlnm.Database">#REF!</definedName>
    <definedName name="BDI">1.3</definedName>
    <definedName name="BDI_TEL">1.3</definedName>
    <definedName name="bdic">1.41</definedName>
    <definedName name="BDIdez">1.1</definedName>
    <definedName name="bl" localSheetId="6">#REF!</definedName>
    <definedName name="bl">#REF!</definedName>
    <definedName name="BuiltIn_Print_Area" localSheetId="6">#REF!</definedName>
    <definedName name="BuiltIn_Print_Area">#REF!</definedName>
    <definedName name="BuiltIn_Print_Titles" localSheetId="6">#REF!</definedName>
    <definedName name="BuiltIn_Print_Titles">#REF!</definedName>
    <definedName name="CAB">"$#REF!.#REF!$#REF!"</definedName>
    <definedName name="CAD" localSheetId="6">#REF!</definedName>
    <definedName name="CAD">#REF!</definedName>
    <definedName name="CalculaTotal" localSheetId="6">#REF!</definedName>
    <definedName name="CalculaTotal">#REF!</definedName>
    <definedName name="CAPA1" localSheetId="6">#REF!</definedName>
    <definedName name="CAPA1">#REF!</definedName>
    <definedName name="CAR" localSheetId="6">#REF!</definedName>
    <definedName name="CAR">#REF!</definedName>
    <definedName name="Carros" localSheetId="6">#REF!</definedName>
    <definedName name="Carros">#REF!</definedName>
    <definedName name="Carros1" localSheetId="6">#REF!</definedName>
    <definedName name="Carros1">#REF!</definedName>
    <definedName name="CCM" localSheetId="6">#REF!</definedName>
    <definedName name="CCM">#REF!</definedName>
    <definedName name="CD" localSheetId="6">#REF!</definedName>
    <definedName name="CD">#REF!</definedName>
    <definedName name="CHF" localSheetId="6">#REF!</definedName>
    <definedName name="CHF">#REF!</definedName>
    <definedName name="CI" localSheetId="6">#REF!</definedName>
    <definedName name="CI">#REF!</definedName>
    <definedName name="CODIGO" localSheetId="6">#REF!</definedName>
    <definedName name="CODIGO">#REF!</definedName>
    <definedName name="COFINS" localSheetId="6">#REF!</definedName>
    <definedName name="COFINS">#REF!</definedName>
    <definedName name="COMPRESSÃO">[8]ENG!$O$5:$O$6</definedName>
    <definedName name="CONTRATO">[9]CONTRATO!$A$3:$H$16</definedName>
    <definedName name="CPMF" localSheetId="6">#REF!</definedName>
    <definedName name="CPMF">#REF!</definedName>
    <definedName name="_xlnm.Criteria" localSheetId="6">#REF!</definedName>
    <definedName name="_xlnm.Criteria">#REF!</definedName>
    <definedName name="CSLL" localSheetId="6">#REF!</definedName>
    <definedName name="CSLL">#REF!</definedName>
    <definedName name="ct" localSheetId="6">#REF!</definedName>
    <definedName name="ct">#REF!</definedName>
    <definedName name="cu" localSheetId="6">#REF!</definedName>
    <definedName name="cu">#REF!</definedName>
    <definedName name="Custo_Direto_de_Obras_Civis_e_Instalações_..........................................." localSheetId="6">#REF!</definedName>
    <definedName name="Custo_Direto_de_Obras_Civis_e_Instalações_...........................................">#REF!</definedName>
    <definedName name="DDD" hidden="1">{"'Plan1'!$B$10","'Plan1'!$A$1","'Plan1'!$C$2:$N$28"}</definedName>
    <definedName name="DDDDDDD" localSheetId="6">#REF!</definedName>
    <definedName name="DDDDDDD">#REF!</definedName>
    <definedName name="DDE_LINK141_35" localSheetId="6">#REF!</definedName>
    <definedName name="DDE_LINK141_35">#REF!</definedName>
    <definedName name="DDE_LINK1411_35" localSheetId="6">#REF!</definedName>
    <definedName name="DDE_LINK1411_35">#REF!</definedName>
    <definedName name="Denominação" localSheetId="6">#REF!</definedName>
    <definedName name="Denominação">#REF!</definedName>
    <definedName name="DEPÓSITO" localSheetId="6">#REF!</definedName>
    <definedName name="DEPÓSITO">#REF!</definedName>
    <definedName name="DESC">1</definedName>
    <definedName name="DESCRITIVO1" localSheetId="6">#REF!</definedName>
    <definedName name="DESCRITIVO1">#REF!</definedName>
    <definedName name="dfs" localSheetId="6">#REF!</definedName>
    <definedName name="dfs">#REF!</definedName>
    <definedName name="DISCIPLINAS">[7]!DISCIPLINA[DISCIPLINA]</definedName>
    <definedName name="DM" localSheetId="6">#REF!</definedName>
    <definedName name="DM">#REF!</definedName>
    <definedName name="DOCAS" localSheetId="6">#REF!</definedName>
    <definedName name="DOCAS">#REF!</definedName>
    <definedName name="DOLAR" localSheetId="6">#REF!</definedName>
    <definedName name="DOLAR">#REF!</definedName>
    <definedName name="DRE" localSheetId="6">'[2]km 26'!#REF!</definedName>
    <definedName name="DRE">'[2]km 26'!#REF!</definedName>
    <definedName name="DSR" localSheetId="6">#REF!</definedName>
    <definedName name="DSR">#REF!</definedName>
    <definedName name="EEE" hidden="1">{"'Plan1'!$B$10","'Plan1'!$A$1","'Plan1'!$C$2:$N$28"}</definedName>
    <definedName name="EMPREITEIRO">[8]ENG!$U$5:$U$6</definedName>
    <definedName name="Equipamentos" localSheetId="6">#REF!</definedName>
    <definedName name="Equipamentos">#REF!</definedName>
    <definedName name="Equipamentos1" localSheetId="6">#REF!</definedName>
    <definedName name="Equipamentos1">#REF!</definedName>
    <definedName name="ES" localSheetId="6">#REF!</definedName>
    <definedName name="ES">#REF!</definedName>
    <definedName name="ESTACIONAMENTO" localSheetId="6">#REF!</definedName>
    <definedName name="ESTACIONAMENTO">#REF!</definedName>
    <definedName name="EURO" localSheetId="6">#REF!</definedName>
    <definedName name="EURO">#REF!</definedName>
    <definedName name="Excel">"$#REF!.$A$1:$S$174"</definedName>
    <definedName name="Excel_BuiltIn__FilterDatabase" localSheetId="6">[10]FGO!#REF!</definedName>
    <definedName name="Excel_BuiltIn__FilterDatabase">[10]FGO!#REF!</definedName>
    <definedName name="Excel_BuiltIn__FilterDatabase_1" localSheetId="6">#REF!</definedName>
    <definedName name="Excel_BuiltIn__FilterDatabase_1">#REF!</definedName>
    <definedName name="Excel_BuiltIn_Criteria" localSheetId="6">#REF!</definedName>
    <definedName name="Excel_BuiltIn_Criteria">#REF!</definedName>
    <definedName name="Excel_BuiltIn_Database" localSheetId="6">#REF!</definedName>
    <definedName name="Excel_BuiltIn_Database">#REF!</definedName>
    <definedName name="Excel_BuiltIn_Print_Area_0">"$#REF!.$A$1:$G$349"</definedName>
    <definedName name="Excel_BuiltIn_Print_Area_1">"$#REF!.$A$1:$G$62"</definedName>
    <definedName name="Excel_BuiltIn_Print_Area_1_1">"$#REF!.$A$1:$J$123"</definedName>
    <definedName name="Excel_BuiltIn_Print_Area_1_1_1_1_1_1_1">[11]PQP!$A$1:$G$70</definedName>
    <definedName name="Excel_BuiltIn_Print_Area_1_2">#REF!</definedName>
    <definedName name="Excel_BuiltIn_Print_Area_10">"$#REF!.$A$1:$F$42"</definedName>
    <definedName name="Excel_BuiltIn_Print_Area_10_1">"$#REF!.$A$1:$N$64"</definedName>
    <definedName name="Excel_BuiltIn_Print_Area_11">"$#REF!.$A$1:$F$41"</definedName>
    <definedName name="Excel_BuiltIn_Print_Area_11_1">"$#REF!.$A$1:$N$64"</definedName>
    <definedName name="Excel_BuiltIn_Print_Area_12">"$#REF!.$A$1:$F$43"</definedName>
    <definedName name="Excel_BuiltIn_Print_Area_12_1">"$#REF!.$A$1:$N$64"</definedName>
    <definedName name="Excel_BuiltIn_Print_Area_13">"$#REF!.$A$1:$F$39"</definedName>
    <definedName name="Excel_BuiltIn_Print_Area_13_1">"$#REF!.$A$1:$N$64"</definedName>
    <definedName name="Excel_BuiltIn_Print_Area_14">"$#REF!.$A$1:$F$41"</definedName>
    <definedName name="Excel_BuiltIn_Print_Area_14_1">"$#REF!.$A$1:$N$64"</definedName>
    <definedName name="Excel_BuiltIn_Print_Area_15">#REF!</definedName>
    <definedName name="Excel_BuiltIn_Print_Area_16">"$#REF!.$A$1:$N$64"</definedName>
    <definedName name="Excel_BuiltIn_Print_Area_17">"$#REF!.$A$1:$N$64"</definedName>
    <definedName name="Excel_BuiltIn_Print_Area_18">"$#REF!.$A$1:$N$64"</definedName>
    <definedName name="Excel_BuiltIn_Print_Area_19">"$#REF!.$A$1:$N$64"</definedName>
    <definedName name="Excel_BuiltIn_Print_Area_2">"$#REF!.$A$1:$E$44"</definedName>
    <definedName name="Excel_BuiltIn_Print_Area_2_1">"$#REF!.$A$3:$G$125"</definedName>
    <definedName name="Excel_BuiltIn_Print_Area_20">"$#REF!.$A$1:$N$64"</definedName>
    <definedName name="Excel_BuiltIn_Print_Area_21">"$#REF!.$A$1:$N$64"</definedName>
    <definedName name="Excel_BuiltIn_Print_Area_22">"$#REF!.$A$1:$F$42"</definedName>
    <definedName name="Excel_BuiltIn_Print_Area_23">"$#REF!.$A$1:$P$118"</definedName>
    <definedName name="Excel_BuiltIn_Print_Area_24">"$#REF!.$A$1:$M$116"</definedName>
    <definedName name="Excel_BuiltIn_Print_Area_25">"$#REF!.$B$1:$J$116"</definedName>
    <definedName name="Excel_BuiltIn_Print_Area_26">"$#REF!.$A$5:$L$137"</definedName>
    <definedName name="Excel_BuiltIn_Print_Area_27">"$#REF!.$A$1:$R$111"</definedName>
    <definedName name="Excel_BuiltIn_Print_Area_28">"$#REF!.$A$5:$P$9"</definedName>
    <definedName name="Excel_BuiltIn_Print_Area_29">"$#REF!.$A$1:$AO$229"</definedName>
    <definedName name="Excel_BuiltIn_Print_Area_3">"$#REF!.$A$1:$F$42"</definedName>
    <definedName name="Excel_BuiltIn_Print_Area_3_1">"$#REF!.$A$1:$S$133"</definedName>
    <definedName name="Excel_BuiltIn_Print_Area_30">"$#REF!.$A$5:$P$9"</definedName>
    <definedName name="Excel_BuiltIn_Print_Area_31">"$#REF!.$A$5:$P$9"</definedName>
    <definedName name="Excel_BuiltIn_Print_Area_32">"$#REF!.$A$5:$P$9"</definedName>
    <definedName name="Excel_BuiltIn_Print_Area_33">"$#REF!.$A$1:$F$49"</definedName>
    <definedName name="Excel_BuiltIn_Print_Area_34">"$#REF!.$A$5:$P$9"</definedName>
    <definedName name="Excel_BuiltIn_Print_Area_35">"$#REF!.$A$5:$P$9"</definedName>
    <definedName name="Excel_BuiltIn_Print_Area_36">"$#REF!.$A$5:$P$9"</definedName>
    <definedName name="Excel_BuiltIn_Print_Area_37">"$#REF!.$A$5:$P$9"</definedName>
    <definedName name="Excel_BuiltIn_Print_Area_38">"$#REF!.$A$7:$L$67"</definedName>
    <definedName name="Excel_BuiltIn_Print_Area_39">"$#REF!.$B$1:$IQ$32019"</definedName>
    <definedName name="Excel_BuiltIn_Print_Area_4">"$#REF!.$A$1:$F$43"</definedName>
    <definedName name="Excel_BuiltIn_Print_Area_4_1">"$#REF!.$A$1:$Z$167"</definedName>
    <definedName name="Excel_BuiltIn_Print_Area_43">"$#REF!.$A$5:$W$9"</definedName>
    <definedName name="Excel_BuiltIn_Print_Area_44">"$#REF!.$A$5:$H$9"</definedName>
    <definedName name="Excel_BuiltIn_Print_Area_45">"$#REF!.$A$5:$H$9"</definedName>
    <definedName name="Excel_BuiltIn_Print_Area_46">"$#REF!.$A$5:$P$9"</definedName>
    <definedName name="Excel_BuiltIn_Print_Area_47">"$#REF!.$A$5:$P$9"</definedName>
    <definedName name="Excel_BuiltIn_Print_Area_48">"$#REF!.$A$5:$P$9"</definedName>
    <definedName name="Excel_BuiltIn_Print_Area_49">"$#REF!.$A$5:$P$9"</definedName>
    <definedName name="Excel_BuiltIn_Print_Area_5">"$#REF!.$A$1:$F$42"</definedName>
    <definedName name="Excel_BuiltIn_Print_Area_5_1">"$#REF!.$A$1:$Q$131"</definedName>
    <definedName name="Excel_BuiltIn_Print_Area_50">"$#REF!.$A$5:$P$9"</definedName>
    <definedName name="Excel_BuiltIn_Print_Area_51">"$#REF!.$A$5:$P$9"</definedName>
    <definedName name="Excel_BuiltIn_Print_Area_52">"$#REF!.$A$5:$P$9"</definedName>
    <definedName name="Excel_BuiltIn_Print_Area_53">"$#REF!.$A$5:$P$9"</definedName>
    <definedName name="Excel_BuiltIn_Print_Area_54">"$#REF!.$A$5:$P$9"</definedName>
    <definedName name="Excel_BuiltIn_Print_Area_55">"$#REF!.$A$5:$IU$31606"</definedName>
    <definedName name="Excel_BuiltIn_Print_Area_56">"$#REF!.$A$5:$IU$31606"</definedName>
    <definedName name="Excel_BuiltIn_Print_Area_57">"$#REF!.$A$5:$IU$31597"</definedName>
    <definedName name="Excel_BuiltIn_Print_Area_58">"$#REF!.$A$5:$P$9"</definedName>
    <definedName name="Excel_BuiltIn_Print_Area_59">"$#REF!.$A$5:$P$9"</definedName>
    <definedName name="Excel_BuiltIn_Print_Area_6">"$#REF!.$A$1:$F$39"</definedName>
    <definedName name="Excel_BuiltIn_Print_Area_6_1">"$#REF!.$A$1:$X$48"</definedName>
    <definedName name="Excel_BuiltIn_Print_Area_60">"$#REF!.$A$5:$P$9"</definedName>
    <definedName name="Excel_BuiltIn_Print_Area_61">"$#REF!.$A$5:$P$9"</definedName>
    <definedName name="Excel_BuiltIn_Print_Area_62">"$#REF!.$A$5:$J$9"</definedName>
    <definedName name="Excel_BuiltIn_Print_Area_7">"$#REF!.$A$1:$F$41"</definedName>
    <definedName name="Excel_BuiltIn_Print_Area_7_1">"$#REF!.$A$1:$N$87"</definedName>
    <definedName name="Excel_BuiltIn_Print_Area_8">"$#REF!.$A$1:$F$43"</definedName>
    <definedName name="Excel_BuiltIn_Print_Area_8_1">"$#REF!.$A$1:$N$64"</definedName>
    <definedName name="Excel_BuiltIn_Print_Area_9">"$#REF!.$A$1:$F$41"</definedName>
    <definedName name="Excel_BuiltIn_Print_Area_9_1">"$#REF!.$A$1:$N$64"</definedName>
    <definedName name="Excel_BuiltIn_Print_Titles_0">"$#REF!.$A$1:$IJ$7"</definedName>
    <definedName name="Excel_BuiltIn_Print_Titles_1" localSheetId="6">#REF!</definedName>
    <definedName name="Excel_BuiltIn_Print_Titles_1">#REF!</definedName>
    <definedName name="Excel_BuiltIn_Print_Titles_1_1">"$#REF!.$A$1:$IV$6"</definedName>
    <definedName name="Excel_BuiltIn_Print_Titles_10">"$#REF!.$A$1:$IV$1"</definedName>
    <definedName name="Excel_BuiltIn_Print_Titles_2_1">"$#REF!.$A$3:$IR$9"</definedName>
    <definedName name="Excel_BuiltIn_Print_Titles_23">"$#REF!.$A$1:$IV$13"</definedName>
    <definedName name="Excel_BuiltIn_Print_Titles_24">"$#REF!.$A$1:$IV$13"</definedName>
    <definedName name="Excel_BuiltIn_Print_Titles_25">"$#REF!.$B$#REF!:$IO$#REF!"</definedName>
    <definedName name="Excel_BuiltIn_Print_Titles_26">"$#REF!.$A$5:$IK$15"</definedName>
    <definedName name="Excel_BuiltIn_Print_Titles_27">"$#REF!.$A$1:$IV$12"</definedName>
    <definedName name="Excel_BuiltIn_Print_Titles_29">"$#REF!.$A$1:$A$65536;$#REF!.$A$1:$IV$13"</definedName>
    <definedName name="Excel_BuiltIn_Print_Titles_3_1">"$#REF!.$A$1:$IV$12"</definedName>
    <definedName name="Excel_BuiltIn_Print_Titles_4_1">"$#REF!.$A$1:$IV$15"</definedName>
    <definedName name="Excel_BuiltIn_Print_Titles_44">"$#REF!.$A$5:$IU$9"</definedName>
    <definedName name="Excel_BuiltIn_Print_Titles_45">"$#REF!.$A$5:$IU$9"</definedName>
    <definedName name="Excel_BuiltIn_Print_Titles_5_1">"$#REF!.$A$1:$IV$11"</definedName>
    <definedName name="fator" localSheetId="6">#REF!</definedName>
    <definedName name="fator">#REF!</definedName>
    <definedName name="fff" hidden="1">{"'Plan1'!$B$10","'Plan1'!$A$1","'Plan1'!$C$2:$N$28"}</definedName>
    <definedName name="FFR" localSheetId="6">#REF!</definedName>
    <definedName name="FFR">#REF!</definedName>
    <definedName name="FORRO" localSheetId="6">#REF!</definedName>
    <definedName name="FORRO">#REF!</definedName>
    <definedName name="GBP" localSheetId="6">#REF!</definedName>
    <definedName name="GBP">#REF!</definedName>
    <definedName name="GERAL" localSheetId="6">#REF!,#REF!,#REF!,#REF!,#REF!,#REF!,#REF!,#REF!</definedName>
    <definedName name="GERAL">#REF!,#REF!,#REF!,#REF!,#REF!,#REF!,#REF!,#REF!</definedName>
    <definedName name="gggggggggggggg" localSheetId="6">#REF!</definedName>
    <definedName name="gggggggggggggg">#REF!</definedName>
    <definedName name="HE">'[6]COMPARATIVO JERFERSON'!$B$5</definedName>
    <definedName name="HEX" localSheetId="6">#REF!</definedName>
    <definedName name="HEX">#REF!</definedName>
    <definedName name="hfhfghfhfhfhf" localSheetId="6">#REF!</definedName>
    <definedName name="hfhfghfhfhfhf">#REF!</definedName>
    <definedName name="HGHGHGHGHGHGHGHG" localSheetId="6">#REF!</definedName>
    <definedName name="HGHGHGHGHGHGHGHG">#REF!</definedName>
    <definedName name="HINTRA">'[6]COMPARATIVO JERFERSON'!$B$8</definedName>
    <definedName name="histo" localSheetId="6">#REF!</definedName>
    <definedName name="histo">#REF!</definedName>
    <definedName name="HJHJHJHJHJHJH" localSheetId="6">#REF!</definedName>
    <definedName name="HJHJHJHJHJHJH">#REF!</definedName>
    <definedName name="HN" localSheetId="6">#REF!</definedName>
    <definedName name="HN">#REF!</definedName>
    <definedName name="HNL" localSheetId="6">#REF!</definedName>
    <definedName name="HNL">#REF!</definedName>
    <definedName name="HOTEL" localSheetId="6">#REF!</definedName>
    <definedName name="HOTEL">#REF!</definedName>
    <definedName name="HRN" localSheetId="6">'[6]COMPARATIVO JERFERSON'!#REF!</definedName>
    <definedName name="HRN">'[6]COMPARATIVO JERFERSON'!#REF!</definedName>
    <definedName name="HTM" localSheetId="6">#REF!</definedName>
    <definedName name="HTM">#REF!</definedName>
    <definedName name="HTML_CodePage" hidden="1">1252</definedName>
    <definedName name="HTML_Control" hidden="1">{"'Plan1'!$B$10","'Plan1'!$A$1","'Plan1'!$C$2:$N$28"}</definedName>
    <definedName name="HTML_Description" hidden="1">""</definedName>
    <definedName name="HTML_Email" hidden="1">""</definedName>
    <definedName name="HTML_Header" hidden="1">"Plan1"</definedName>
    <definedName name="HTML_LastUpdate" hidden="1">"23/02/01"</definedName>
    <definedName name="HTML_LineAfter" hidden="1">FALSE</definedName>
    <definedName name="HTML_LineBefore" hidden="1">FALSE</definedName>
    <definedName name="HTML_Name" hidden="1">"Bardella"</definedName>
    <definedName name="HTML_OBDlg2" hidden="1">TRUE</definedName>
    <definedName name="HTML_OBDlg4" hidden="1">TRUE</definedName>
    <definedName name="HTML_OS" hidden="1">0</definedName>
    <definedName name="HTML_PathFile" hidden="1">"C:\Meus documentos\MeuHTML.htm"</definedName>
    <definedName name="HTML_Title" hidden="1">"Curva S BSA08"</definedName>
    <definedName name="HTN" localSheetId="6">#REF!</definedName>
    <definedName name="HTN">#REF!</definedName>
    <definedName name="I" localSheetId="6">#REF!</definedName>
    <definedName name="I">#REF!</definedName>
    <definedName name="i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II" localSheetId="6">#REF!</definedName>
    <definedName name="II">#REF!</definedName>
    <definedName name="III" localSheetId="6">#REF!</definedName>
    <definedName name="III">#REF!</definedName>
    <definedName name="IMPOSTOS">[8]FIN!$B$5:$B$11</definedName>
    <definedName name="índice" localSheetId="6">#REF!</definedName>
    <definedName name="índice">#REF!</definedName>
    <definedName name="INTRA">'[6]COMPARATIVO JERFERSON'!$B$8</definedName>
    <definedName name="IRP" localSheetId="6">#REF!</definedName>
    <definedName name="IRP">#REF!</definedName>
    <definedName name="IRRF" localSheetId="6">#REF!</definedName>
    <definedName name="IRRF">#REF!</definedName>
    <definedName name="ISS" localSheetId="6">#REF!</definedName>
    <definedName name="ISS">#REF!</definedName>
    <definedName name="ISS___alíquota_de_Curitiba" localSheetId="6">#REF!</definedName>
    <definedName name="ISS___alíquota_de_Curitiba">#REF!</definedName>
    <definedName name="IV" localSheetId="6">#REF!</definedName>
    <definedName name="IV">#REF!</definedName>
    <definedName name="KKKKK" localSheetId="6">#REF!</definedName>
    <definedName name="KKKKK">#REF!</definedName>
    <definedName name="KLKLJLJLJLJLJLJ" localSheetId="6">#REF!</definedName>
    <definedName name="KLKLJLJLJLJLJLJ">#REF!</definedName>
    <definedName name="KM" localSheetId="6">#REF!</definedName>
    <definedName name="KM">#REF!</definedName>
    <definedName name="L_" localSheetId="6">#REF!</definedName>
    <definedName name="L_">#REF!</definedName>
    <definedName name="LAE" localSheetId="6">#REF!</definedName>
    <definedName name="LAE">#REF!</definedName>
    <definedName name="LB" localSheetId="6">#REF!</definedName>
    <definedName name="LB">#REF!</definedName>
    <definedName name="LI" localSheetId="6">#REF!</definedName>
    <definedName name="LI">#REF!</definedName>
    <definedName name="LÍDER" localSheetId="6">#REF!</definedName>
    <definedName name="LÍDER">#REF!</definedName>
    <definedName name="LII" localSheetId="6">#REF!</definedName>
    <definedName name="LII">#REF!</definedName>
    <definedName name="LIII" localSheetId="6">#REF!</definedName>
    <definedName name="LIII">#REF!</definedName>
    <definedName name="Line" localSheetId="6">#REF!</definedName>
    <definedName name="Line">#REF!</definedName>
    <definedName name="LIV" localSheetId="6">#REF!</definedName>
    <definedName name="LIV">#REF!</definedName>
    <definedName name="LIX" localSheetId="6">#REF!</definedName>
    <definedName name="LIX">#REF!</definedName>
    <definedName name="LOGÍSTICA">[8]ENG!$H$5:$H$7</definedName>
    <definedName name="LOT1___0">"$#REF!.$T$2"</definedName>
    <definedName name="LOT1___12">"$#REF!.$#REF!$#REF!"</definedName>
    <definedName name="LOT10___0">"$#REF!.$T$12"</definedName>
    <definedName name="LOT10___12">"$#REF!.$#REF!$#REF!"</definedName>
    <definedName name="LOT2___0">"$#REF!.$T$3"</definedName>
    <definedName name="LOT2___12">"$#REF!.$#REF!$#REF!"</definedName>
    <definedName name="LOT3___0">"$#REF!.$T$4"</definedName>
    <definedName name="LOT3___12">"$#REF!.$#REF!$#REF!"</definedName>
    <definedName name="LOT4___0">"$#REF!.$T$5"</definedName>
    <definedName name="LOT4___12">"$#REF!.$#REF!$#REF!"</definedName>
    <definedName name="LOT5___0">"$#REF!.$T$6"</definedName>
    <definedName name="LOT5___12">"$#REF!.$#REF!$#REF!"</definedName>
    <definedName name="LOT6___0">"$#REF!.$T$7"</definedName>
    <definedName name="LOT6___12">"$#REF!.$#REF!$#REF!"</definedName>
    <definedName name="LOT7___0">"$#REF!.$T$8"</definedName>
    <definedName name="LOT7___12">"$#REF!.$#REF!$#REF!"</definedName>
    <definedName name="LOT8___0">"$#REF!.$T$9"</definedName>
    <definedName name="LOT8___12">"$#REF!.$#REF!$#REF!"</definedName>
    <definedName name="LOT9___0">"$#REF!.$T$11"</definedName>
    <definedName name="LOT9___12">"$#REF!.$#REF!$#REF!"</definedName>
    <definedName name="LS" localSheetId="6">'[12]M.O.'!#REF!</definedName>
    <definedName name="LS">'[12]M.O.'!#REF!</definedName>
    <definedName name="LV" localSheetId="6">#REF!</definedName>
    <definedName name="LV">#REF!</definedName>
    <definedName name="LVI" localSheetId="6">#REF!</definedName>
    <definedName name="LVI">#REF!</definedName>
    <definedName name="LVII" localSheetId="6">#REF!</definedName>
    <definedName name="LVII">#REF!</definedName>
    <definedName name="LVIII" localSheetId="6">#REF!</definedName>
    <definedName name="LVIII">#REF!</definedName>
    <definedName name="LXX" localSheetId="6">#REF!</definedName>
    <definedName name="LXX">#REF!</definedName>
    <definedName name="LXXI" localSheetId="6">#REF!</definedName>
    <definedName name="LXXI">#REF!</definedName>
    <definedName name="LXXII" localSheetId="6">#REF!</definedName>
    <definedName name="LXXII">#REF!</definedName>
    <definedName name="LXXIII" localSheetId="6">#REF!</definedName>
    <definedName name="LXXIII">#REF!</definedName>
    <definedName name="LXXIV" localSheetId="6">#REF!</definedName>
    <definedName name="LXXIV">#REF!</definedName>
    <definedName name="LXXIX" localSheetId="6">#REF!</definedName>
    <definedName name="LXXIX">#REF!</definedName>
    <definedName name="LXXV" localSheetId="6">#REF!</definedName>
    <definedName name="LXXV">#REF!</definedName>
    <definedName name="LXXVI" localSheetId="6">#REF!</definedName>
    <definedName name="LXXVI">#REF!</definedName>
    <definedName name="LXXVII" localSheetId="6">#REF!</definedName>
    <definedName name="LXXVII">#REF!</definedName>
    <definedName name="LXXVIII" localSheetId="6">#REF!</definedName>
    <definedName name="LXXVIII">#REF!</definedName>
    <definedName name="LXXX" localSheetId="6">#REF!</definedName>
    <definedName name="LXXX">#REF!</definedName>
    <definedName name="LXXXI" localSheetId="6">#REF!</definedName>
    <definedName name="LXXXI">#REF!</definedName>
    <definedName name="LXXXII" localSheetId="6">#REF!</definedName>
    <definedName name="LXXXII">#REF!</definedName>
    <definedName name="LXXXIII" localSheetId="6">#REF!</definedName>
    <definedName name="LXXXIII">#REF!</definedName>
    <definedName name="LXXXIV" localSheetId="6">#REF!</definedName>
    <definedName name="LXXXIV">#REF!</definedName>
    <definedName name="LXXXV" localSheetId="6">#REF!</definedName>
    <definedName name="LXXXV">#REF!</definedName>
    <definedName name="mem_quant">"$#REF!.$G$#REF!:$L$#REF!"</definedName>
    <definedName name="MEMÓRIA" localSheetId="6">#REF!</definedName>
    <definedName name="MEMÓRIA">#REF!</definedName>
    <definedName name="memoria_caminhao">"$#REF!.$J$4:$Q$22"</definedName>
    <definedName name="METRO">"$#REF!.$#REF!$#REF!"</definedName>
    <definedName name="METRO___0">"$#REF!.$T$13"</definedName>
    <definedName name="METRO___12">"$#REF!.$#REF!$#REF!"</definedName>
    <definedName name="MILEAGE" localSheetId="6">#REF!</definedName>
    <definedName name="MILEAGE">#REF!</definedName>
    <definedName name="MO_1">0</definedName>
    <definedName name="MS" localSheetId="6">#REF!</definedName>
    <definedName name="MS">#REF!</definedName>
    <definedName name="MULT" localSheetId="6">[4]plan!#REF!</definedName>
    <definedName name="MULT">[4]plan!#REF!</definedName>
    <definedName name="multi" localSheetId="6">#REF!</definedName>
    <definedName name="multi">#REF!</definedName>
    <definedName name="neiva" localSheetId="6">#REF!</definedName>
    <definedName name="neiva">#REF!</definedName>
    <definedName name="NIVEL3" localSheetId="6">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</definedName>
    <definedName name="NIVEL3">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,[13]EAP!#REF!</definedName>
    <definedName name="NN">"Dialog Frame 1"</definedName>
    <definedName name="OAE" localSheetId="6">'[2]km 26'!#REF!</definedName>
    <definedName name="OAE">'[2]km 26'!#REF!</definedName>
    <definedName name="OLE_LINK1_1">#N/A</definedName>
    <definedName name="OLE_LINK1_15">#N/A</definedName>
    <definedName name="OMISSOS" localSheetId="6">#REF!</definedName>
    <definedName name="OMISSOS">#REF!</definedName>
    <definedName name="orrc.est.">"$#REF!.$A$10:$F$48"</definedName>
    <definedName name="orrc.est.___0">"$#REF!.$A$1:$F$23"</definedName>
    <definedName name="P.Aparente" localSheetId="6">#REF!</definedName>
    <definedName name="P.Aparente">#REF!</definedName>
    <definedName name="P.Reatia" localSheetId="6">#REF!</definedName>
    <definedName name="P.Reatia">#REF!</definedName>
    <definedName name="pativar" localSheetId="6">#REF!</definedName>
    <definedName name="pativar">#REF!</definedName>
    <definedName name="PAV" localSheetId="6">'[2]km 26'!#REF!</definedName>
    <definedName name="PAV">'[2]km 26'!#REF!</definedName>
    <definedName name="PD" localSheetId="6">#REF!</definedName>
    <definedName name="PD">#REF!</definedName>
    <definedName name="PE" localSheetId="6">#REF!</definedName>
    <definedName name="PE">#REF!</definedName>
    <definedName name="PÉDIREITO">[8]ENG!$K$5:$K$8</definedName>
    <definedName name="PERS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NTURA" localSheetId="6">#REF!</definedName>
    <definedName name="PINTURA">#REF!</definedName>
    <definedName name="PIS" localSheetId="6">#REF!</definedName>
    <definedName name="PIS">#REF!</definedName>
    <definedName name="PISO" localSheetId="6">#REF!</definedName>
    <definedName name="PISO">#REF!</definedName>
    <definedName name="pl" localSheetId="6">#REF!</definedName>
    <definedName name="pl">#REF!</definedName>
    <definedName name="PLAN_OMISSOS" localSheetId="6">#REF!</definedName>
    <definedName name="PLAN_OMISSOS">#REF!</definedName>
    <definedName name="PLANO" localSheetId="6">#REF!</definedName>
    <definedName name="PLANO">#REF!</definedName>
    <definedName name="planoContas" localSheetId="6">#REF!</definedName>
    <definedName name="planoContas">#REF!</definedName>
    <definedName name="PLLOJA" localSheetId="6">#REF!</definedName>
    <definedName name="PLLOJA">#REF!</definedName>
    <definedName name="PM" localSheetId="6">#REF!</definedName>
    <definedName name="PM">#REF!</definedName>
    <definedName name="PONTE" localSheetId="6">#REF!</definedName>
    <definedName name="PONTE">#REF!</definedName>
    <definedName name="PORTE">[8]ENG!$X$5:$X$7</definedName>
    <definedName name="Potencia" localSheetId="6">#REF!</definedName>
    <definedName name="Potencia">#REF!</definedName>
    <definedName name="PRAZO" localSheetId="6">#REF!</definedName>
    <definedName name="PRAZO">#REF!</definedName>
    <definedName name="PRE" localSheetId="6">'[2]km 26'!#REF!</definedName>
    <definedName name="PRE">'[2]km 26'!#REF!</definedName>
    <definedName name="PREÇO" localSheetId="6">#REF!</definedName>
    <definedName name="PREÇO">#REF!</definedName>
    <definedName name="PREFAB">[8]ENG!$R$5:$R$6</definedName>
    <definedName name="Print_Area_MI" localSheetId="6">#REF!</definedName>
    <definedName name="Print_Area_MI">#REF!</definedName>
    <definedName name="Projetos" localSheetId="6">#REF!</definedName>
    <definedName name="Projetos">#REF!</definedName>
    <definedName name="PRUN2" localSheetId="6">#REF!</definedName>
    <definedName name="PRUN2">#REF!</definedName>
    <definedName name="PS" localSheetId="6">#REF!</definedName>
    <definedName name="PS">#REF!</definedName>
    <definedName name="PU" localSheetId="6">#REF!</definedName>
    <definedName name="PU">#REF!</definedName>
    <definedName name="ReajusteCadTerc" localSheetId="6">#REF!</definedName>
    <definedName name="ReajusteCadTerc">#REF!</definedName>
    <definedName name="rec" localSheetId="6">#REF!</definedName>
    <definedName name="rec">#REF!</definedName>
    <definedName name="RECICLAGEM" localSheetId="6">#REF!</definedName>
    <definedName name="RECICLAGEM">#REF!</definedName>
    <definedName name="REGIÃO">[8]ENG!$E$5:$E$9</definedName>
    <definedName name="Rendimento" localSheetId="6">#REF!</definedName>
    <definedName name="Rendimento">#REF!</definedName>
    <definedName name="resultadorendimento" localSheetId="6">#REF!</definedName>
    <definedName name="resultadorendimento">#REF!</definedName>
    <definedName name="RESUMO" localSheetId="6">#REF!</definedName>
    <definedName name="RESUMO">#REF!</definedName>
    <definedName name="REV" localSheetId="6">'[2]km 26'!#REF!</definedName>
    <definedName name="REV">'[2]km 26'!#REF!</definedName>
    <definedName name="REV." localSheetId="6">#REF!</definedName>
    <definedName name="REV.">#REF!</definedName>
    <definedName name="Roupeiro" localSheetId="6">#REF!</definedName>
    <definedName name="Roupeiro">#REF!</definedName>
    <definedName name="RT" localSheetId="6">#REF!</definedName>
    <definedName name="RT">#REF!</definedName>
    <definedName name="SDF" localSheetId="6">#REF!</definedName>
    <definedName name="SDF">#REF!</definedName>
    <definedName name="S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G" localSheetId="6">'[2]km 26'!#REF!</definedName>
    <definedName name="SEG">'[2]km 26'!#REF!</definedName>
    <definedName name="SETOR">[8]ENG!$B$5:$B$19</definedName>
    <definedName name="SIH" localSheetId="6">'[2]km 26'!#REF!</definedName>
    <definedName name="SIH">'[2]km 26'!#REF!</definedName>
    <definedName name="Sin_nombre" localSheetId="6">#REF!</definedName>
    <definedName name="Sin_nombre">#REF!</definedName>
    <definedName name="SINALIZAÇÃO" localSheetId="6">#REF!</definedName>
    <definedName name="SINALIZAÇÃO">#REF!</definedName>
    <definedName name="SISTEMAS">[7]Legendas!$G$2:$G$25</definedName>
    <definedName name="SIV" localSheetId="6">'[2]km 26'!#REF!</definedName>
    <definedName name="SIV">'[2]km 26'!#REF!</definedName>
    <definedName name="sm" localSheetId="6">#REF!</definedName>
    <definedName name="sm">#REF!</definedName>
    <definedName name="SMC" localSheetId="6">#REF!</definedName>
    <definedName name="SMC">#REF!</definedName>
    <definedName name="SMT" localSheetId="6">#REF!</definedName>
    <definedName name="SMT">#REF!</definedName>
    <definedName name="solicitante" localSheetId="6">#REF!</definedName>
    <definedName name="solicitante">#REF!</definedName>
    <definedName name="sp" localSheetId="6">#REF!</definedName>
    <definedName name="sp">#REF!</definedName>
    <definedName name="SSLink_0">"$#REF!.$A$1:$IV$32000"</definedName>
    <definedName name="SSLink_0___0">#REF!</definedName>
    <definedName name="Status" localSheetId="6">#REF!</definedName>
    <definedName name="Status">#REF!</definedName>
    <definedName name="SUBAREAS">[7]Legendas!$D$2:$D$25</definedName>
    <definedName name="Subestação" localSheetId="6">#REF!</definedName>
    <definedName name="Subestação">#REF!</definedName>
    <definedName name="SV" localSheetId="6">#REF!</definedName>
    <definedName name="SV">#REF!</definedName>
    <definedName name="TA" localSheetId="6">#REF!</definedName>
    <definedName name="TA">#REF!</definedName>
    <definedName name="tabela" localSheetId="6">#REF!</definedName>
    <definedName name="tabela">#REF!</definedName>
    <definedName name="tabelaDenominação" localSheetId="6">#REF!</definedName>
    <definedName name="tabelaDenominação">#REF!</definedName>
    <definedName name="TABREF" localSheetId="6">#REF!</definedName>
    <definedName name="TABREF">#REF!</definedName>
    <definedName name="Tag_Carga" localSheetId="6">#REF!</definedName>
    <definedName name="Tag_Carga">#REF!</definedName>
    <definedName name="Tag_CCM" localSheetId="6">#REF!</definedName>
    <definedName name="Tag_CCM">#REF!</definedName>
    <definedName name="TaxaImport">1.6</definedName>
    <definedName name="Tipos_de_Classificação">'[14]Parâmetros '!#REF!</definedName>
    <definedName name="_xlnm.Print_Titles" localSheetId="6">'Base PSP'!$1:$6</definedName>
    <definedName name="_xlnm.Print_Titles">#REF!</definedName>
    <definedName name="Títulos_impressão_IM" localSheetId="6">[5]MCBR!#REF!</definedName>
    <definedName name="Títulos_impressão_IM">[5]MCBR!#REF!</definedName>
    <definedName name="TMO" localSheetId="6">#REF!</definedName>
    <definedName name="TMO">#REF!</definedName>
    <definedName name="torre">"$#REF!.$A$1:$H$54"</definedName>
    <definedName name="TOTAIS" localSheetId="6">#REF!</definedName>
    <definedName name="TOTAIS">#REF!</definedName>
    <definedName name="TOTAISA" localSheetId="6">#REF!</definedName>
    <definedName name="TOTAISA">#REF!</definedName>
    <definedName name="TOTAISAH" localSheetId="6">#REF!</definedName>
    <definedName name="TOTAISAH">#REF!</definedName>
    <definedName name="TOTAISH" localSheetId="6">#REF!</definedName>
    <definedName name="TOTAISH">#REF!</definedName>
    <definedName name="TOTAL1" localSheetId="6">#REF!</definedName>
    <definedName name="TOTAL1">#REF!</definedName>
    <definedName name="TOTAL10" localSheetId="6">#REF!</definedName>
    <definedName name="TOTAL10">#REF!</definedName>
    <definedName name="TOTAL11" localSheetId="6">#REF!</definedName>
    <definedName name="TOTAL11">#REF!</definedName>
    <definedName name="TOTAL12" localSheetId="6">#REF!</definedName>
    <definedName name="TOTAL12">#REF!</definedName>
    <definedName name="TOTAL13" localSheetId="6">#REF!</definedName>
    <definedName name="TOTAL13">#REF!</definedName>
    <definedName name="TOTAL14" localSheetId="6">#REF!</definedName>
    <definedName name="TOTAL14">#REF!</definedName>
    <definedName name="TOTAL15" localSheetId="6">#REF!</definedName>
    <definedName name="TOTAL15">#REF!</definedName>
    <definedName name="TOTAL2" localSheetId="6">#REF!</definedName>
    <definedName name="TOTAL2">#REF!</definedName>
    <definedName name="TOTAL3" localSheetId="6">#REF!</definedName>
    <definedName name="TOTAL3">#REF!</definedName>
    <definedName name="TOTAL4" localSheetId="6">#REF!</definedName>
    <definedName name="TOTAL4">#REF!</definedName>
    <definedName name="TOTAL5" localSheetId="6">#REF!</definedName>
    <definedName name="TOTAL5">#REF!</definedName>
    <definedName name="TOTAL6" localSheetId="6">#REF!</definedName>
    <definedName name="TOTAL6">#REF!</definedName>
    <definedName name="TOTAL7" localSheetId="6">#REF!</definedName>
    <definedName name="TOTAL7">#REF!</definedName>
    <definedName name="TOTAL8" localSheetId="6">#REF!</definedName>
    <definedName name="TOTAL8">#REF!</definedName>
    <definedName name="TOTAL9" localSheetId="6">#REF!</definedName>
    <definedName name="TOTAL9">#REF!</definedName>
    <definedName name="tr" localSheetId="6">#REF!</definedName>
    <definedName name="tr">#REF!</definedName>
    <definedName name="TRP" localSheetId="6">'[2]km 26'!#REF!</definedName>
    <definedName name="TRP">'[2]km 26'!#REF!</definedName>
    <definedName name="UNIDADES" localSheetId="6">#REF!</definedName>
    <definedName name="UNIDADES">#REF!</definedName>
    <definedName name="UNIFORME" localSheetId="6">#REF!</definedName>
    <definedName name="UNIFORME">#REF!</definedName>
    <definedName name="Unitários" localSheetId="6">#REF!</definedName>
    <definedName name="Unitários">#REF!</definedName>
    <definedName name="USDOLAR" localSheetId="6">#REF!</definedName>
    <definedName name="USDOLAR">#REF!</definedName>
    <definedName name="Utensílio" localSheetId="6">#REF!</definedName>
    <definedName name="Utensílio">#REF!</definedName>
    <definedName name="Utensílios" localSheetId="6">#REF!</definedName>
    <definedName name="Utensílios">#REF!</definedName>
    <definedName name="Utensílios1" localSheetId="6">#REF!</definedName>
    <definedName name="Utensílios1">#REF!</definedName>
    <definedName name="V" localSheetId="6">#REF!</definedName>
    <definedName name="V">#REF!</definedName>
    <definedName name="va" localSheetId="6">#REF!</definedName>
    <definedName name="va">#REF!</definedName>
    <definedName name="vale" localSheetId="6">#REF!</definedName>
    <definedName name="vale">#REF!</definedName>
    <definedName name="VALORES_VALORES_Listar" localSheetId="6">#REF!</definedName>
    <definedName name="VALORES_VALORES_Listar">#REF!</definedName>
    <definedName name="VI" localSheetId="6">#REF!</definedName>
    <definedName name="VI">#REF!</definedName>
    <definedName name="VR" localSheetId="6">#REF!</definedName>
    <definedName name="VR">#REF!</definedName>
    <definedName name="vs" localSheetId="6">#REF!</definedName>
    <definedName name="vs">#REF!</definedName>
    <definedName name="VT" localSheetId="6">#REF!</definedName>
    <definedName name="VT">#REF!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SEM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6">#REF!</definedName>
    <definedName name="x">#REF!</definedName>
    <definedName name="XC" localSheetId="6">#REF!</definedName>
    <definedName name="XC">#REF!</definedName>
    <definedName name="XCI" localSheetId="6">#REF!</definedName>
    <definedName name="XCI">#REF!</definedName>
    <definedName name="XCII" localSheetId="6">#REF!</definedName>
    <definedName name="XCII">#REF!</definedName>
    <definedName name="XCIII" localSheetId="6">#REF!</definedName>
    <definedName name="XCIII">#REF!</definedName>
    <definedName name="XCIV" localSheetId="6">#REF!</definedName>
    <definedName name="XCIV">#REF!</definedName>
    <definedName name="XCIX" localSheetId="6">#REF!</definedName>
    <definedName name="XCIX">#REF!</definedName>
    <definedName name="XCV" localSheetId="6">#REF!</definedName>
    <definedName name="XCV">#REF!</definedName>
    <definedName name="XCVI" localSheetId="6">#REF!</definedName>
    <definedName name="XCVI">#REF!</definedName>
    <definedName name="XCVII" localSheetId="6">#REF!</definedName>
    <definedName name="XCVII">#REF!</definedName>
    <definedName name="XCVIII" localSheetId="6">#REF!</definedName>
    <definedName name="XCVIII">#REF!</definedName>
    <definedName name="XI" localSheetId="6">#REF!</definedName>
    <definedName name="XI">#REF!</definedName>
    <definedName name="XII" localSheetId="6">#REF!</definedName>
    <definedName name="XII">#REF!</definedName>
    <definedName name="XIII" localSheetId="6">#REF!</definedName>
    <definedName name="XIII">#REF!</definedName>
    <definedName name="XIV" localSheetId="6">#REF!</definedName>
    <definedName name="XIV">#REF!</definedName>
    <definedName name="XV" localSheetId="6">#REF!</definedName>
    <definedName name="XV">#REF!</definedName>
    <definedName name="xx">"$#REF!.$A$1:$G$64"</definedName>
    <definedName name="XXI" localSheetId="6">#REF!</definedName>
    <definedName name="XXI">#REF!</definedName>
    <definedName name="XXII" localSheetId="6">#REF!</definedName>
    <definedName name="XXII">#REF!</definedName>
    <definedName name="XXIII" localSheetId="6">#REF!</definedName>
    <definedName name="XXIII">#REF!</definedName>
    <definedName name="XXIV" localSheetId="6">#REF!</definedName>
    <definedName name="XXIV">#REF!</definedName>
    <definedName name="XXV" localSheetId="6">#REF!</definedName>
    <definedName name="XXV">#REF!</definedName>
    <definedName name="XXX" localSheetId="6">#REF!</definedName>
    <definedName name="XXX">#REF!</definedName>
    <definedName name="XXXI" localSheetId="6">#REF!</definedName>
    <definedName name="XXXI">#REF!</definedName>
    <definedName name="XXXII" localSheetId="6">#REF!</definedName>
    <definedName name="XXXII">#REF!</definedName>
    <definedName name="XXXIII" localSheetId="6">#REF!</definedName>
    <definedName name="XXXIII">#REF!</definedName>
    <definedName name="XXXIV" localSheetId="6">#REF!</definedName>
    <definedName name="XXXIV">#REF!</definedName>
    <definedName name="XXXIX" localSheetId="6">#REF!</definedName>
    <definedName name="XXXIX">#REF!</definedName>
    <definedName name="XXXV" localSheetId="6">#REF!</definedName>
    <definedName name="XXXV">#REF!</definedName>
    <definedName name="XXXVI" localSheetId="6">#REF!</definedName>
    <definedName name="XXXVI">#REF!</definedName>
    <definedName name="XXXVII" localSheetId="6">#REF!</definedName>
    <definedName name="XXXVII">#REF!</definedName>
    <definedName name="XXXVIII" localSheetId="6">#REF!</definedName>
    <definedName name="XXXVIII">#REF!</definedName>
    <definedName name="xyx" localSheetId="6">#REF!</definedName>
    <definedName name="xyx">#REF!</definedName>
    <definedName name="yyy" localSheetId="6">#REF!</definedName>
    <definedName name="yyy">#REF!</definedName>
    <definedName name="zzz" localSheetId="6">#REF!</definedName>
    <definedName name="zz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4" l="1"/>
  <c r="B39" i="18"/>
  <c r="D35" i="18" a="1"/>
  <c r="D35" i="18" s="1"/>
  <c r="F35" i="18" s="1"/>
  <c r="B35" i="18" a="1"/>
  <c r="B35" i="18" s="1"/>
  <c r="F34" i="18"/>
  <c r="D34" i="18"/>
  <c r="D34" i="18" a="1"/>
  <c r="B34" i="18" a="1"/>
  <c r="B34" i="18" s="1"/>
  <c r="D33" i="18" a="1"/>
  <c r="D33" i="18" s="1"/>
  <c r="F33" i="18" s="1"/>
  <c r="B33" i="18"/>
  <c r="B33" i="18" a="1"/>
  <c r="D32" i="18" a="1"/>
  <c r="D32" i="18" s="1"/>
  <c r="F32" i="18" s="1"/>
  <c r="B32" i="18"/>
  <c r="B32" i="18" a="1"/>
  <c r="D31" i="18"/>
  <c r="F31" i="18" s="1"/>
  <c r="D31" i="18" a="1"/>
  <c r="B31" i="18" a="1"/>
  <c r="B31" i="18" s="1"/>
  <c r="D30" i="18" a="1"/>
  <c r="D30" i="18" s="1"/>
  <c r="F30" i="18" s="1"/>
  <c r="B30" i="18" a="1"/>
  <c r="B30" i="18" s="1"/>
  <c r="D29" i="18" a="1"/>
  <c r="D29" i="18" s="1"/>
  <c r="F29" i="18" s="1"/>
  <c r="B29" i="18" a="1"/>
  <c r="B29" i="18" s="1"/>
  <c r="D28" i="18" a="1"/>
  <c r="D28" i="18" s="1"/>
  <c r="F28" i="18" s="1"/>
  <c r="B28" i="18" a="1"/>
  <c r="B28" i="18" s="1"/>
  <c r="D35" i="13" a="1"/>
  <c r="D35" i="13" s="1"/>
  <c r="F35" i="13" s="1"/>
  <c r="D34" i="13" a="1"/>
  <c r="D34" i="13" s="1"/>
  <c r="F34" i="13" s="1"/>
  <c r="D33" i="13" a="1"/>
  <c r="D33" i="13" s="1"/>
  <c r="F33" i="13" s="1"/>
  <c r="D32" i="13" a="1"/>
  <c r="D32" i="13" s="1"/>
  <c r="F32" i="13" s="1"/>
  <c r="D31" i="13" a="1"/>
  <c r="D31" i="13" s="1"/>
  <c r="F31" i="13" s="1"/>
  <c r="D30" i="13" a="1"/>
  <c r="D30" i="13" s="1"/>
  <c r="F30" i="13" s="1"/>
  <c r="D29" i="13" a="1"/>
  <c r="D29" i="13" s="1"/>
  <c r="F29" i="13" s="1"/>
  <c r="D28" i="13" a="1"/>
  <c r="D28" i="13" s="1"/>
  <c r="B35" i="13" a="1"/>
  <c r="B35" i="13" s="1"/>
  <c r="B34" i="13" a="1"/>
  <c r="B34" i="13" s="1"/>
  <c r="B33" i="13" a="1"/>
  <c r="B33" i="13" s="1"/>
  <c r="B32" i="13" a="1"/>
  <c r="B32" i="13" s="1"/>
  <c r="B31" i="13" a="1"/>
  <c r="B31" i="13" s="1"/>
  <c r="B30" i="13" a="1"/>
  <c r="B30" i="13" s="1"/>
  <c r="B29" i="13" a="1"/>
  <c r="B29" i="13" s="1"/>
  <c r="B28" i="13" a="1"/>
  <c r="B28" i="13" s="1"/>
  <c r="A10" i="13" a="1"/>
  <c r="A10" i="13" s="1"/>
  <c r="A25" i="13"/>
  <c r="F19" i="13"/>
  <c r="E19" i="13"/>
  <c r="D19" i="13"/>
  <c r="C19" i="13"/>
  <c r="B19" i="13"/>
  <c r="A19" i="13"/>
  <c r="F17" i="13"/>
  <c r="E17" i="13"/>
  <c r="D17" i="13"/>
  <c r="C17" i="13"/>
  <c r="F14" i="13"/>
  <c r="E14" i="13"/>
  <c r="D14" i="13"/>
  <c r="C14" i="13"/>
  <c r="B14" i="13"/>
  <c r="A14" i="13"/>
  <c r="D12" i="13"/>
  <c r="C12" i="13"/>
  <c r="B12" i="13"/>
  <c r="A12" i="13"/>
  <c r="E10" i="13"/>
  <c r="F36" i="18" l="1"/>
  <c r="B39" i="13"/>
  <c r="F28" i="13"/>
  <c r="F36" i="13" s="1"/>
  <c r="BJ168" i="7" l="1"/>
  <c r="BH168" i="7"/>
  <c r="BF168" i="7"/>
  <c r="BD168" i="7"/>
  <c r="BB168" i="7"/>
  <c r="AZ168" i="7"/>
  <c r="AX168" i="7"/>
  <c r="AV168" i="7"/>
  <c r="AT168" i="7"/>
  <c r="AR168" i="7"/>
  <c r="AP168" i="7"/>
  <c r="AN168" i="7"/>
  <c r="AL168" i="7"/>
  <c r="AJ168" i="7"/>
  <c r="AH168" i="7"/>
  <c r="AF168" i="7"/>
  <c r="AD168" i="7"/>
  <c r="AB168" i="7"/>
  <c r="Z168" i="7"/>
  <c r="X168" i="7"/>
  <c r="V168" i="7"/>
  <c r="T168" i="7"/>
  <c r="R168" i="7"/>
  <c r="P168" i="7"/>
  <c r="J168" i="7"/>
  <c r="M168" i="7" s="1"/>
  <c r="H168" i="7"/>
  <c r="G168" i="7"/>
  <c r="F168" i="7"/>
  <c r="BJ167" i="7"/>
  <c r="BH167" i="7"/>
  <c r="BF167" i="7"/>
  <c r="BD167" i="7"/>
  <c r="BB167" i="7"/>
  <c r="AZ167" i="7"/>
  <c r="AX167" i="7"/>
  <c r="AV167" i="7"/>
  <c r="AT167" i="7"/>
  <c r="AR167" i="7"/>
  <c r="AP167" i="7"/>
  <c r="AN167" i="7"/>
  <c r="AL167" i="7"/>
  <c r="AJ167" i="7"/>
  <c r="AH167" i="7"/>
  <c r="AF167" i="7"/>
  <c r="AD167" i="7"/>
  <c r="AB167" i="7"/>
  <c r="Z167" i="7"/>
  <c r="X167" i="7"/>
  <c r="V167" i="7"/>
  <c r="T167" i="7"/>
  <c r="R167" i="7"/>
  <c r="P167" i="7"/>
  <c r="J167" i="7"/>
  <c r="M167" i="7" s="1"/>
  <c r="H167" i="7"/>
  <c r="G167" i="7"/>
  <c r="F167" i="7"/>
  <c r="BJ166" i="7"/>
  <c r="BH166" i="7"/>
  <c r="BF166" i="7"/>
  <c r="BD166" i="7"/>
  <c r="BB166" i="7"/>
  <c r="AZ166" i="7"/>
  <c r="AX166" i="7"/>
  <c r="AV166" i="7"/>
  <c r="AT166" i="7"/>
  <c r="AR166" i="7"/>
  <c r="AP166" i="7"/>
  <c r="AN166" i="7"/>
  <c r="AL166" i="7"/>
  <c r="AJ166" i="7"/>
  <c r="AH166" i="7"/>
  <c r="AF166" i="7"/>
  <c r="AD166" i="7"/>
  <c r="AB166" i="7"/>
  <c r="Z166" i="7"/>
  <c r="X166" i="7"/>
  <c r="V166" i="7"/>
  <c r="T166" i="7"/>
  <c r="R166" i="7"/>
  <c r="P166" i="7"/>
  <c r="J166" i="7"/>
  <c r="L166" i="7" s="1"/>
  <c r="H166" i="7"/>
  <c r="M166" i="7" s="1"/>
  <c r="G166" i="7"/>
  <c r="F166" i="7"/>
  <c r="BJ164" i="7"/>
  <c r="BH164" i="7"/>
  <c r="BF164" i="7"/>
  <c r="BD164" i="7"/>
  <c r="BB164" i="7"/>
  <c r="AZ164" i="7"/>
  <c r="AX164" i="7"/>
  <c r="AV164" i="7"/>
  <c r="AT164" i="7"/>
  <c r="AR164" i="7"/>
  <c r="AP164" i="7"/>
  <c r="AN164" i="7"/>
  <c r="AL164" i="7"/>
  <c r="AJ164" i="7"/>
  <c r="AH164" i="7"/>
  <c r="AF164" i="7"/>
  <c r="AD164" i="7"/>
  <c r="AB164" i="7"/>
  <c r="Z164" i="7"/>
  <c r="X164" i="7"/>
  <c r="V164" i="7"/>
  <c r="T164" i="7"/>
  <c r="R164" i="7"/>
  <c r="P164" i="7"/>
  <c r="M164" i="7"/>
  <c r="K164" i="7"/>
  <c r="J164" i="7"/>
  <c r="H164" i="7"/>
  <c r="G164" i="7"/>
  <c r="L164" i="7" s="1"/>
  <c r="F164" i="7"/>
  <c r="BJ163" i="7"/>
  <c r="BH163" i="7"/>
  <c r="BF163" i="7"/>
  <c r="BD163" i="7"/>
  <c r="BB163" i="7"/>
  <c r="AZ163" i="7"/>
  <c r="AX163" i="7"/>
  <c r="AV163" i="7"/>
  <c r="AT163" i="7"/>
  <c r="AR163" i="7"/>
  <c r="AP163" i="7"/>
  <c r="AN163" i="7"/>
  <c r="AL163" i="7"/>
  <c r="AJ163" i="7"/>
  <c r="AH163" i="7"/>
  <c r="AF163" i="7"/>
  <c r="AD163" i="7"/>
  <c r="AB163" i="7"/>
  <c r="Z163" i="7"/>
  <c r="X163" i="7"/>
  <c r="V163" i="7"/>
  <c r="T163" i="7"/>
  <c r="R163" i="7"/>
  <c r="P163" i="7"/>
  <c r="M163" i="7"/>
  <c r="L163" i="7"/>
  <c r="K163" i="7"/>
  <c r="J163" i="7"/>
  <c r="H163" i="7"/>
  <c r="G163" i="7"/>
  <c r="F163" i="7"/>
  <c r="BJ162" i="7"/>
  <c r="BH162" i="7"/>
  <c r="BF162" i="7"/>
  <c r="BD162" i="7"/>
  <c r="BB162" i="7"/>
  <c r="AZ162" i="7"/>
  <c r="AX162" i="7"/>
  <c r="AV162" i="7"/>
  <c r="AT162" i="7"/>
  <c r="AR162" i="7"/>
  <c r="AP162" i="7"/>
  <c r="AN162" i="7"/>
  <c r="AL162" i="7"/>
  <c r="AJ162" i="7"/>
  <c r="AH162" i="7"/>
  <c r="AF162" i="7"/>
  <c r="AD162" i="7"/>
  <c r="AB162" i="7"/>
  <c r="Z162" i="7"/>
  <c r="X162" i="7"/>
  <c r="V162" i="7"/>
  <c r="T162" i="7"/>
  <c r="R162" i="7"/>
  <c r="P162" i="7"/>
  <c r="M162" i="7"/>
  <c r="J162" i="7"/>
  <c r="L162" i="7" s="1"/>
  <c r="H162" i="7"/>
  <c r="G162" i="7"/>
  <c r="F162" i="7"/>
  <c r="BJ160" i="7"/>
  <c r="BH160" i="7"/>
  <c r="BF160" i="7"/>
  <c r="BD160" i="7"/>
  <c r="BB160" i="7"/>
  <c r="AZ160" i="7"/>
  <c r="AX160" i="7"/>
  <c r="AV160" i="7"/>
  <c r="AT160" i="7"/>
  <c r="AR160" i="7"/>
  <c r="AP160" i="7"/>
  <c r="AN160" i="7"/>
  <c r="AL160" i="7"/>
  <c r="AJ160" i="7"/>
  <c r="AH160" i="7"/>
  <c r="AF160" i="7"/>
  <c r="AD160" i="7"/>
  <c r="AB160" i="7"/>
  <c r="Z160" i="7"/>
  <c r="X160" i="7"/>
  <c r="V160" i="7"/>
  <c r="T160" i="7"/>
  <c r="R160" i="7"/>
  <c r="P160" i="7"/>
  <c r="M160" i="7"/>
  <c r="L160" i="7"/>
  <c r="J160" i="7"/>
  <c r="K160" i="7" s="1"/>
  <c r="H160" i="7"/>
  <c r="G160" i="7"/>
  <c r="F160" i="7"/>
  <c r="BJ159" i="7"/>
  <c r="BH159" i="7"/>
  <c r="BF159" i="7"/>
  <c r="BD159" i="7"/>
  <c r="BB159" i="7"/>
  <c r="AZ159" i="7"/>
  <c r="AX159" i="7"/>
  <c r="AV159" i="7"/>
  <c r="AT159" i="7"/>
  <c r="AR159" i="7"/>
  <c r="AP159" i="7"/>
  <c r="AN159" i="7"/>
  <c r="AL159" i="7"/>
  <c r="AJ159" i="7"/>
  <c r="AH159" i="7"/>
  <c r="AF159" i="7"/>
  <c r="AD159" i="7"/>
  <c r="AB159" i="7"/>
  <c r="Z159" i="7"/>
  <c r="X159" i="7"/>
  <c r="V159" i="7"/>
  <c r="T159" i="7"/>
  <c r="R159" i="7"/>
  <c r="P159" i="7"/>
  <c r="L159" i="7"/>
  <c r="K159" i="7"/>
  <c r="J159" i="7"/>
  <c r="M159" i="7" s="1"/>
  <c r="H159" i="7"/>
  <c r="G159" i="7"/>
  <c r="F159" i="7"/>
  <c r="BJ158" i="7"/>
  <c r="BH158" i="7"/>
  <c r="BF158" i="7"/>
  <c r="BD158" i="7"/>
  <c r="BB158" i="7"/>
  <c r="AZ158" i="7"/>
  <c r="AX158" i="7"/>
  <c r="AV158" i="7"/>
  <c r="AT158" i="7"/>
  <c r="AR158" i="7"/>
  <c r="AP158" i="7"/>
  <c r="AN158" i="7"/>
  <c r="AL158" i="7"/>
  <c r="AJ158" i="7"/>
  <c r="AH158" i="7"/>
  <c r="AF158" i="7"/>
  <c r="AD158" i="7"/>
  <c r="AB158" i="7"/>
  <c r="Z158" i="7"/>
  <c r="X158" i="7"/>
  <c r="V158" i="7"/>
  <c r="T158" i="7"/>
  <c r="R158" i="7"/>
  <c r="P158" i="7"/>
  <c r="J158" i="7"/>
  <c r="M158" i="7" s="1"/>
  <c r="H158" i="7"/>
  <c r="G158" i="7"/>
  <c r="F158" i="7"/>
  <c r="BJ157" i="7"/>
  <c r="BH157" i="7"/>
  <c r="BF157" i="7"/>
  <c r="BD157" i="7"/>
  <c r="BB157" i="7"/>
  <c r="AZ157" i="7"/>
  <c r="AX157" i="7"/>
  <c r="AV157" i="7"/>
  <c r="AT157" i="7"/>
  <c r="AR157" i="7"/>
  <c r="AP157" i="7"/>
  <c r="AN157" i="7"/>
  <c r="AL157" i="7"/>
  <c r="AJ157" i="7"/>
  <c r="AH157" i="7"/>
  <c r="AF157" i="7"/>
  <c r="AD157" i="7"/>
  <c r="AB157" i="7"/>
  <c r="Z157" i="7"/>
  <c r="X157" i="7"/>
  <c r="V157" i="7"/>
  <c r="T157" i="7"/>
  <c r="R157" i="7"/>
  <c r="P157" i="7"/>
  <c r="M157" i="7"/>
  <c r="J157" i="7"/>
  <c r="L157" i="7" s="1"/>
  <c r="H157" i="7"/>
  <c r="G157" i="7"/>
  <c r="F157" i="7"/>
  <c r="BJ156" i="7"/>
  <c r="BH156" i="7"/>
  <c r="BF156" i="7"/>
  <c r="BD156" i="7"/>
  <c r="BB156" i="7"/>
  <c r="AZ156" i="7"/>
  <c r="AX156" i="7"/>
  <c r="AV156" i="7"/>
  <c r="AT156" i="7"/>
  <c r="AR156" i="7"/>
  <c r="AP156" i="7"/>
  <c r="AN156" i="7"/>
  <c r="AL156" i="7"/>
  <c r="AJ156" i="7"/>
  <c r="AH156" i="7"/>
  <c r="AF156" i="7"/>
  <c r="AD156" i="7"/>
  <c r="AB156" i="7"/>
  <c r="Z156" i="7"/>
  <c r="X156" i="7"/>
  <c r="V156" i="7"/>
  <c r="T156" i="7"/>
  <c r="R156" i="7"/>
  <c r="P156" i="7"/>
  <c r="L156" i="7"/>
  <c r="J156" i="7"/>
  <c r="K156" i="7" s="1"/>
  <c r="H156" i="7"/>
  <c r="M156" i="7" s="1"/>
  <c r="G156" i="7"/>
  <c r="F156" i="7"/>
  <c r="BJ155" i="7"/>
  <c r="BH155" i="7"/>
  <c r="BF155" i="7"/>
  <c r="BD155" i="7"/>
  <c r="BB155" i="7"/>
  <c r="AZ155" i="7"/>
  <c r="AX155" i="7"/>
  <c r="AV155" i="7"/>
  <c r="AT155" i="7"/>
  <c r="AR155" i="7"/>
  <c r="AP155" i="7"/>
  <c r="AN155" i="7"/>
  <c r="AL155" i="7"/>
  <c r="AJ155" i="7"/>
  <c r="AH155" i="7"/>
  <c r="AF155" i="7"/>
  <c r="AD155" i="7"/>
  <c r="AB155" i="7"/>
  <c r="Z155" i="7"/>
  <c r="X155" i="7"/>
  <c r="V155" i="7"/>
  <c r="T155" i="7"/>
  <c r="R155" i="7"/>
  <c r="P155" i="7"/>
  <c r="M155" i="7"/>
  <c r="K155" i="7"/>
  <c r="J155" i="7"/>
  <c r="H155" i="7"/>
  <c r="G155" i="7"/>
  <c r="L155" i="7" s="1"/>
  <c r="F155" i="7"/>
  <c r="BJ154" i="7"/>
  <c r="BH154" i="7"/>
  <c r="BF154" i="7"/>
  <c r="BD154" i="7"/>
  <c r="BB154" i="7"/>
  <c r="AZ154" i="7"/>
  <c r="AX154" i="7"/>
  <c r="AV154" i="7"/>
  <c r="AT154" i="7"/>
  <c r="AR154" i="7"/>
  <c r="AP154" i="7"/>
  <c r="AN154" i="7"/>
  <c r="AL154" i="7"/>
  <c r="AJ154" i="7"/>
  <c r="AH154" i="7"/>
  <c r="AF154" i="7"/>
  <c r="AD154" i="7"/>
  <c r="AB154" i="7"/>
  <c r="Z154" i="7"/>
  <c r="X154" i="7"/>
  <c r="V154" i="7"/>
  <c r="T154" i="7"/>
  <c r="R154" i="7"/>
  <c r="P154" i="7"/>
  <c r="J154" i="7"/>
  <c r="M154" i="7" s="1"/>
  <c r="H154" i="7"/>
  <c r="G154" i="7"/>
  <c r="F154" i="7"/>
  <c r="BJ153" i="7"/>
  <c r="BH153" i="7"/>
  <c r="BF153" i="7"/>
  <c r="BD153" i="7"/>
  <c r="BB153" i="7"/>
  <c r="AZ153" i="7"/>
  <c r="AX153" i="7"/>
  <c r="AV153" i="7"/>
  <c r="AT153" i="7"/>
  <c r="AR153" i="7"/>
  <c r="AP153" i="7"/>
  <c r="AN153" i="7"/>
  <c r="AL153" i="7"/>
  <c r="AJ153" i="7"/>
  <c r="AH153" i="7"/>
  <c r="AF153" i="7"/>
  <c r="AD153" i="7"/>
  <c r="AB153" i="7"/>
  <c r="Z153" i="7"/>
  <c r="X153" i="7"/>
  <c r="V153" i="7"/>
  <c r="T153" i="7"/>
  <c r="R153" i="7"/>
  <c r="P153" i="7"/>
  <c r="J153" i="7"/>
  <c r="L153" i="7" s="1"/>
  <c r="H153" i="7"/>
  <c r="M153" i="7" s="1"/>
  <c r="G153" i="7"/>
  <c r="F153" i="7"/>
  <c r="BJ152" i="7"/>
  <c r="BH152" i="7"/>
  <c r="BF152" i="7"/>
  <c r="BD152" i="7"/>
  <c r="BB152" i="7"/>
  <c r="AZ152" i="7"/>
  <c r="AX152" i="7"/>
  <c r="AV152" i="7"/>
  <c r="AT152" i="7"/>
  <c r="AR152" i="7"/>
  <c r="AP152" i="7"/>
  <c r="AN152" i="7"/>
  <c r="AL152" i="7"/>
  <c r="AJ152" i="7"/>
  <c r="AH152" i="7"/>
  <c r="AF152" i="7"/>
  <c r="AD152" i="7"/>
  <c r="AB152" i="7"/>
  <c r="Z152" i="7"/>
  <c r="X152" i="7"/>
  <c r="V152" i="7"/>
  <c r="T152" i="7"/>
  <c r="R152" i="7"/>
  <c r="P152" i="7"/>
  <c r="M152" i="7"/>
  <c r="J152" i="7"/>
  <c r="K152" i="7" s="1"/>
  <c r="H152" i="7"/>
  <c r="G152" i="7"/>
  <c r="L152" i="7" s="1"/>
  <c r="F152" i="7"/>
  <c r="BJ151" i="7"/>
  <c r="BH151" i="7"/>
  <c r="BF151" i="7"/>
  <c r="BD151" i="7"/>
  <c r="BB151" i="7"/>
  <c r="AZ151" i="7"/>
  <c r="AX151" i="7"/>
  <c r="AV151" i="7"/>
  <c r="AT151" i="7"/>
  <c r="AR151" i="7"/>
  <c r="AP151" i="7"/>
  <c r="AN151" i="7"/>
  <c r="AL151" i="7"/>
  <c r="AJ151" i="7"/>
  <c r="AH151" i="7"/>
  <c r="AF151" i="7"/>
  <c r="AD151" i="7"/>
  <c r="AB151" i="7"/>
  <c r="Z151" i="7"/>
  <c r="X151" i="7"/>
  <c r="V151" i="7"/>
  <c r="T151" i="7"/>
  <c r="R151" i="7"/>
  <c r="P151" i="7"/>
  <c r="L151" i="7"/>
  <c r="K151" i="7"/>
  <c r="J151" i="7"/>
  <c r="M151" i="7" s="1"/>
  <c r="H151" i="7"/>
  <c r="G151" i="7"/>
  <c r="F151" i="7"/>
  <c r="BJ150" i="7"/>
  <c r="BH150" i="7"/>
  <c r="BF150" i="7"/>
  <c r="BD150" i="7"/>
  <c r="BB150" i="7"/>
  <c r="AZ150" i="7"/>
  <c r="AX150" i="7"/>
  <c r="AV150" i="7"/>
  <c r="AT150" i="7"/>
  <c r="AR150" i="7"/>
  <c r="AP150" i="7"/>
  <c r="AN150" i="7"/>
  <c r="AL150" i="7"/>
  <c r="AJ150" i="7"/>
  <c r="AH150" i="7"/>
  <c r="AF150" i="7"/>
  <c r="AD150" i="7"/>
  <c r="AB150" i="7"/>
  <c r="Z150" i="7"/>
  <c r="X150" i="7"/>
  <c r="V150" i="7"/>
  <c r="T150" i="7"/>
  <c r="R150" i="7"/>
  <c r="P150" i="7"/>
  <c r="J150" i="7"/>
  <c r="M150" i="7" s="1"/>
  <c r="H150" i="7"/>
  <c r="G150" i="7"/>
  <c r="F150" i="7"/>
  <c r="BJ149" i="7"/>
  <c r="BH149" i="7"/>
  <c r="BF149" i="7"/>
  <c r="BD149" i="7"/>
  <c r="BB149" i="7"/>
  <c r="AZ149" i="7"/>
  <c r="AX149" i="7"/>
  <c r="AV149" i="7"/>
  <c r="AT149" i="7"/>
  <c r="AR149" i="7"/>
  <c r="AP149" i="7"/>
  <c r="AN149" i="7"/>
  <c r="AL149" i="7"/>
  <c r="AJ149" i="7"/>
  <c r="AH149" i="7"/>
  <c r="AF149" i="7"/>
  <c r="AD149" i="7"/>
  <c r="AB149" i="7"/>
  <c r="Z149" i="7"/>
  <c r="X149" i="7"/>
  <c r="V149" i="7"/>
  <c r="T149" i="7"/>
  <c r="R149" i="7"/>
  <c r="P149" i="7"/>
  <c r="M149" i="7"/>
  <c r="J149" i="7"/>
  <c r="L149" i="7" s="1"/>
  <c r="H149" i="7"/>
  <c r="G149" i="7"/>
  <c r="F149" i="7"/>
  <c r="BJ148" i="7"/>
  <c r="BH148" i="7"/>
  <c r="BF148" i="7"/>
  <c r="BD148" i="7"/>
  <c r="BB148" i="7"/>
  <c r="AZ148" i="7"/>
  <c r="AX148" i="7"/>
  <c r="AV148" i="7"/>
  <c r="AT148" i="7"/>
  <c r="AR148" i="7"/>
  <c r="AP148" i="7"/>
  <c r="AN148" i="7"/>
  <c r="AL148" i="7"/>
  <c r="AJ148" i="7"/>
  <c r="AH148" i="7"/>
  <c r="AF148" i="7"/>
  <c r="AD148" i="7"/>
  <c r="AB148" i="7"/>
  <c r="Z148" i="7"/>
  <c r="X148" i="7"/>
  <c r="V148" i="7"/>
  <c r="T148" i="7"/>
  <c r="R148" i="7"/>
  <c r="P148" i="7"/>
  <c r="L148" i="7"/>
  <c r="J148" i="7"/>
  <c r="K148" i="7" s="1"/>
  <c r="H148" i="7"/>
  <c r="M148" i="7" s="1"/>
  <c r="G148" i="7"/>
  <c r="F148" i="7"/>
  <c r="BJ147" i="7"/>
  <c r="BH147" i="7"/>
  <c r="BF147" i="7"/>
  <c r="BD147" i="7"/>
  <c r="BB147" i="7"/>
  <c r="AZ147" i="7"/>
  <c r="AX147" i="7"/>
  <c r="AV147" i="7"/>
  <c r="AT147" i="7"/>
  <c r="AR147" i="7"/>
  <c r="AP147" i="7"/>
  <c r="AN147" i="7"/>
  <c r="AL147" i="7"/>
  <c r="AJ147" i="7"/>
  <c r="AH147" i="7"/>
  <c r="AF147" i="7"/>
  <c r="AD147" i="7"/>
  <c r="AB147" i="7"/>
  <c r="Z147" i="7"/>
  <c r="X147" i="7"/>
  <c r="V147" i="7"/>
  <c r="T147" i="7"/>
  <c r="R147" i="7"/>
  <c r="P147" i="7"/>
  <c r="M147" i="7"/>
  <c r="K147" i="7"/>
  <c r="J147" i="7"/>
  <c r="H147" i="7"/>
  <c r="G147" i="7"/>
  <c r="L147" i="7" s="1"/>
  <c r="F147" i="7"/>
  <c r="BJ146" i="7"/>
  <c r="BH146" i="7"/>
  <c r="BF146" i="7"/>
  <c r="BD146" i="7"/>
  <c r="BB146" i="7"/>
  <c r="AZ146" i="7"/>
  <c r="AX146" i="7"/>
  <c r="AV146" i="7"/>
  <c r="AT146" i="7"/>
  <c r="AR146" i="7"/>
  <c r="AP146" i="7"/>
  <c r="AN146" i="7"/>
  <c r="AL146" i="7"/>
  <c r="AJ146" i="7"/>
  <c r="AH146" i="7"/>
  <c r="AF146" i="7"/>
  <c r="AD146" i="7"/>
  <c r="AB146" i="7"/>
  <c r="Z146" i="7"/>
  <c r="X146" i="7"/>
  <c r="V146" i="7"/>
  <c r="T146" i="7"/>
  <c r="R146" i="7"/>
  <c r="P146" i="7"/>
  <c r="J146" i="7"/>
  <c r="M146" i="7" s="1"/>
  <c r="H146" i="7"/>
  <c r="G146" i="7"/>
  <c r="F146" i="7"/>
  <c r="BJ145" i="7"/>
  <c r="BH145" i="7"/>
  <c r="BF145" i="7"/>
  <c r="BD145" i="7"/>
  <c r="BB145" i="7"/>
  <c r="AZ145" i="7"/>
  <c r="AX145" i="7"/>
  <c r="AV145" i="7"/>
  <c r="AT145" i="7"/>
  <c r="AR145" i="7"/>
  <c r="AP145" i="7"/>
  <c r="AN145" i="7"/>
  <c r="AL145" i="7"/>
  <c r="AJ145" i="7"/>
  <c r="AH145" i="7"/>
  <c r="AF145" i="7"/>
  <c r="AD145" i="7"/>
  <c r="AB145" i="7"/>
  <c r="Z145" i="7"/>
  <c r="X145" i="7"/>
  <c r="V145" i="7"/>
  <c r="T145" i="7"/>
  <c r="R145" i="7"/>
  <c r="P145" i="7"/>
  <c r="J145" i="7"/>
  <c r="L145" i="7" s="1"/>
  <c r="H145" i="7"/>
  <c r="M145" i="7" s="1"/>
  <c r="G145" i="7"/>
  <c r="F145" i="7"/>
  <c r="BJ144" i="7"/>
  <c r="BH144" i="7"/>
  <c r="BF144" i="7"/>
  <c r="BD144" i="7"/>
  <c r="BB144" i="7"/>
  <c r="AZ144" i="7"/>
  <c r="AX144" i="7"/>
  <c r="AV144" i="7"/>
  <c r="AT144" i="7"/>
  <c r="AR144" i="7"/>
  <c r="AP144" i="7"/>
  <c r="AN144" i="7"/>
  <c r="AL144" i="7"/>
  <c r="AJ144" i="7"/>
  <c r="AH144" i="7"/>
  <c r="AF144" i="7"/>
  <c r="AD144" i="7"/>
  <c r="AB144" i="7"/>
  <c r="Z144" i="7"/>
  <c r="X144" i="7"/>
  <c r="V144" i="7"/>
  <c r="T144" i="7"/>
  <c r="R144" i="7"/>
  <c r="P144" i="7"/>
  <c r="M144" i="7"/>
  <c r="J144" i="7"/>
  <c r="K144" i="7" s="1"/>
  <c r="H144" i="7"/>
  <c r="G144" i="7"/>
  <c r="L144" i="7" s="1"/>
  <c r="F144" i="7"/>
  <c r="BJ143" i="7"/>
  <c r="BH143" i="7"/>
  <c r="BF143" i="7"/>
  <c r="BD143" i="7"/>
  <c r="BB143" i="7"/>
  <c r="AZ143" i="7"/>
  <c r="AX143" i="7"/>
  <c r="AV143" i="7"/>
  <c r="AT143" i="7"/>
  <c r="AR143" i="7"/>
  <c r="AP143" i="7"/>
  <c r="AN143" i="7"/>
  <c r="AL143" i="7"/>
  <c r="AJ143" i="7"/>
  <c r="AH143" i="7"/>
  <c r="AF143" i="7"/>
  <c r="AD143" i="7"/>
  <c r="AB143" i="7"/>
  <c r="Z143" i="7"/>
  <c r="X143" i="7"/>
  <c r="V143" i="7"/>
  <c r="T143" i="7"/>
  <c r="R143" i="7"/>
  <c r="P143" i="7"/>
  <c r="L143" i="7"/>
  <c r="K143" i="7"/>
  <c r="J143" i="7"/>
  <c r="M143" i="7" s="1"/>
  <c r="H143" i="7"/>
  <c r="G143" i="7"/>
  <c r="F143" i="7"/>
  <c r="BJ142" i="7"/>
  <c r="BH142" i="7"/>
  <c r="BF142" i="7"/>
  <c r="BD142" i="7"/>
  <c r="BB142" i="7"/>
  <c r="AZ142" i="7"/>
  <c r="AX142" i="7"/>
  <c r="AV142" i="7"/>
  <c r="AT142" i="7"/>
  <c r="AR142" i="7"/>
  <c r="AP142" i="7"/>
  <c r="AN142" i="7"/>
  <c r="AL142" i="7"/>
  <c r="AJ142" i="7"/>
  <c r="AH142" i="7"/>
  <c r="AF142" i="7"/>
  <c r="AD142" i="7"/>
  <c r="AB142" i="7"/>
  <c r="Z142" i="7"/>
  <c r="X142" i="7"/>
  <c r="V142" i="7"/>
  <c r="T142" i="7"/>
  <c r="R142" i="7"/>
  <c r="P142" i="7"/>
  <c r="J142" i="7"/>
  <c r="M142" i="7" s="1"/>
  <c r="H142" i="7"/>
  <c r="G142" i="7"/>
  <c r="F142" i="7"/>
  <c r="BJ141" i="7"/>
  <c r="BH141" i="7"/>
  <c r="BF141" i="7"/>
  <c r="BD141" i="7"/>
  <c r="BB141" i="7"/>
  <c r="AZ141" i="7"/>
  <c r="AX141" i="7"/>
  <c r="AV141" i="7"/>
  <c r="AT141" i="7"/>
  <c r="AR141" i="7"/>
  <c r="AP141" i="7"/>
  <c r="AN141" i="7"/>
  <c r="AL141" i="7"/>
  <c r="AJ141" i="7"/>
  <c r="AH141" i="7"/>
  <c r="AF141" i="7"/>
  <c r="AD141" i="7"/>
  <c r="AB141" i="7"/>
  <c r="Z141" i="7"/>
  <c r="X141" i="7"/>
  <c r="V141" i="7"/>
  <c r="T141" i="7"/>
  <c r="R141" i="7"/>
  <c r="P141" i="7"/>
  <c r="M141" i="7"/>
  <c r="J141" i="7"/>
  <c r="L141" i="7" s="1"/>
  <c r="H141" i="7"/>
  <c r="G141" i="7"/>
  <c r="F141" i="7"/>
  <c r="BJ140" i="7"/>
  <c r="BH140" i="7"/>
  <c r="BF140" i="7"/>
  <c r="BD140" i="7"/>
  <c r="BB140" i="7"/>
  <c r="AZ140" i="7"/>
  <c r="AX140" i="7"/>
  <c r="AV140" i="7"/>
  <c r="AT140" i="7"/>
  <c r="AR140" i="7"/>
  <c r="AP140" i="7"/>
  <c r="AN140" i="7"/>
  <c r="AL140" i="7"/>
  <c r="AJ140" i="7"/>
  <c r="AH140" i="7"/>
  <c r="AF140" i="7"/>
  <c r="AD140" i="7"/>
  <c r="AB140" i="7"/>
  <c r="Z140" i="7"/>
  <c r="X140" i="7"/>
  <c r="V140" i="7"/>
  <c r="T140" i="7"/>
  <c r="R140" i="7"/>
  <c r="P140" i="7"/>
  <c r="L140" i="7"/>
  <c r="J140" i="7"/>
  <c r="K140" i="7" s="1"/>
  <c r="H140" i="7"/>
  <c r="M140" i="7" s="1"/>
  <c r="G140" i="7"/>
  <c r="F140" i="7"/>
  <c r="BJ139" i="7"/>
  <c r="BH139" i="7"/>
  <c r="BF139" i="7"/>
  <c r="BD139" i="7"/>
  <c r="BB139" i="7"/>
  <c r="AZ139" i="7"/>
  <c r="AX139" i="7"/>
  <c r="AV139" i="7"/>
  <c r="AT139" i="7"/>
  <c r="AR139" i="7"/>
  <c r="AP139" i="7"/>
  <c r="AN139" i="7"/>
  <c r="AL139" i="7"/>
  <c r="AJ139" i="7"/>
  <c r="AH139" i="7"/>
  <c r="AF139" i="7"/>
  <c r="AD139" i="7"/>
  <c r="AB139" i="7"/>
  <c r="Z139" i="7"/>
  <c r="X139" i="7"/>
  <c r="V139" i="7"/>
  <c r="T139" i="7"/>
  <c r="R139" i="7"/>
  <c r="P139" i="7"/>
  <c r="M139" i="7"/>
  <c r="K139" i="7"/>
  <c r="J139" i="7"/>
  <c r="H139" i="7"/>
  <c r="G139" i="7"/>
  <c r="L139" i="7" s="1"/>
  <c r="F139" i="7"/>
  <c r="BJ138" i="7"/>
  <c r="BH138" i="7"/>
  <c r="BF138" i="7"/>
  <c r="BD138" i="7"/>
  <c r="BB138" i="7"/>
  <c r="AZ138" i="7"/>
  <c r="AX138" i="7"/>
  <c r="AV138" i="7"/>
  <c r="AT138" i="7"/>
  <c r="AR138" i="7"/>
  <c r="AP138" i="7"/>
  <c r="AN138" i="7"/>
  <c r="AL138" i="7"/>
  <c r="AJ138" i="7"/>
  <c r="AH138" i="7"/>
  <c r="AF138" i="7"/>
  <c r="AD138" i="7"/>
  <c r="AB138" i="7"/>
  <c r="Z138" i="7"/>
  <c r="X138" i="7"/>
  <c r="V138" i="7"/>
  <c r="T138" i="7"/>
  <c r="R138" i="7"/>
  <c r="P138" i="7"/>
  <c r="J138" i="7"/>
  <c r="M138" i="7" s="1"/>
  <c r="H138" i="7"/>
  <c r="G138" i="7"/>
  <c r="F138" i="7"/>
  <c r="BJ136" i="7"/>
  <c r="BH136" i="7"/>
  <c r="BF136" i="7"/>
  <c r="BD136" i="7"/>
  <c r="BB136" i="7"/>
  <c r="AZ136" i="7"/>
  <c r="AX136" i="7"/>
  <c r="AV136" i="7"/>
  <c r="AT136" i="7"/>
  <c r="AR136" i="7"/>
  <c r="AP136" i="7"/>
  <c r="AN136" i="7"/>
  <c r="AL136" i="7"/>
  <c r="AJ136" i="7"/>
  <c r="AH136" i="7"/>
  <c r="AF136" i="7"/>
  <c r="AD136" i="7"/>
  <c r="AB136" i="7"/>
  <c r="Z136" i="7"/>
  <c r="X136" i="7"/>
  <c r="V136" i="7"/>
  <c r="T136" i="7"/>
  <c r="R136" i="7"/>
  <c r="P136" i="7"/>
  <c r="J136" i="7"/>
  <c r="L136" i="7" s="1"/>
  <c r="H136" i="7"/>
  <c r="M136" i="7" s="1"/>
  <c r="G136" i="7"/>
  <c r="F136" i="7"/>
  <c r="BJ134" i="7"/>
  <c r="BH134" i="7"/>
  <c r="BF134" i="7"/>
  <c r="BD134" i="7"/>
  <c r="BB134" i="7"/>
  <c r="AZ134" i="7"/>
  <c r="AX134" i="7"/>
  <c r="AV134" i="7"/>
  <c r="AT134" i="7"/>
  <c r="AR134" i="7"/>
  <c r="AP134" i="7"/>
  <c r="AN134" i="7"/>
  <c r="AL134" i="7"/>
  <c r="AJ134" i="7"/>
  <c r="AH134" i="7"/>
  <c r="AF134" i="7"/>
  <c r="AD134" i="7"/>
  <c r="AB134" i="7"/>
  <c r="Z134" i="7"/>
  <c r="X134" i="7"/>
  <c r="V134" i="7"/>
  <c r="T134" i="7"/>
  <c r="R134" i="7"/>
  <c r="P134" i="7"/>
  <c r="M134" i="7"/>
  <c r="J134" i="7"/>
  <c r="K134" i="7" s="1"/>
  <c r="H134" i="7"/>
  <c r="G134" i="7"/>
  <c r="L134" i="7" s="1"/>
  <c r="F134" i="7"/>
  <c r="BJ133" i="7"/>
  <c r="BH133" i="7"/>
  <c r="BF133" i="7"/>
  <c r="BD133" i="7"/>
  <c r="BB133" i="7"/>
  <c r="AZ133" i="7"/>
  <c r="AX133" i="7"/>
  <c r="AV133" i="7"/>
  <c r="AT133" i="7"/>
  <c r="AR133" i="7"/>
  <c r="AP133" i="7"/>
  <c r="AN133" i="7"/>
  <c r="AL133" i="7"/>
  <c r="AJ133" i="7"/>
  <c r="AH133" i="7"/>
  <c r="AF133" i="7"/>
  <c r="AD133" i="7"/>
  <c r="AB133" i="7"/>
  <c r="Z133" i="7"/>
  <c r="X133" i="7"/>
  <c r="V133" i="7"/>
  <c r="T133" i="7"/>
  <c r="R133" i="7"/>
  <c r="P133" i="7"/>
  <c r="L133" i="7"/>
  <c r="K133" i="7"/>
  <c r="J133" i="7"/>
  <c r="M133" i="7" s="1"/>
  <c r="H133" i="7"/>
  <c r="G133" i="7"/>
  <c r="F133" i="7"/>
  <c r="BJ132" i="7"/>
  <c r="BH132" i="7"/>
  <c r="BF132" i="7"/>
  <c r="BD132" i="7"/>
  <c r="BB132" i="7"/>
  <c r="AZ132" i="7"/>
  <c r="AX132" i="7"/>
  <c r="AV132" i="7"/>
  <c r="AT132" i="7"/>
  <c r="AR132" i="7"/>
  <c r="AP132" i="7"/>
  <c r="AN132" i="7"/>
  <c r="AL132" i="7"/>
  <c r="AJ132" i="7"/>
  <c r="AH132" i="7"/>
  <c r="AF132" i="7"/>
  <c r="AD132" i="7"/>
  <c r="AB132" i="7"/>
  <c r="Z132" i="7"/>
  <c r="X132" i="7"/>
  <c r="V132" i="7"/>
  <c r="T132" i="7"/>
  <c r="R132" i="7"/>
  <c r="P132" i="7"/>
  <c r="J132" i="7"/>
  <c r="M132" i="7" s="1"/>
  <c r="H132" i="7"/>
  <c r="G132" i="7"/>
  <c r="F132" i="7"/>
  <c r="BJ130" i="7"/>
  <c r="BH130" i="7"/>
  <c r="BF130" i="7"/>
  <c r="BD130" i="7"/>
  <c r="BB130" i="7"/>
  <c r="AZ130" i="7"/>
  <c r="AX130" i="7"/>
  <c r="AV130" i="7"/>
  <c r="AT130" i="7"/>
  <c r="AR130" i="7"/>
  <c r="AP130" i="7"/>
  <c r="AN130" i="7"/>
  <c r="AL130" i="7"/>
  <c r="AJ130" i="7"/>
  <c r="AH130" i="7"/>
  <c r="AF130" i="7"/>
  <c r="AD130" i="7"/>
  <c r="AB130" i="7"/>
  <c r="Z130" i="7"/>
  <c r="X130" i="7"/>
  <c r="V130" i="7"/>
  <c r="T130" i="7"/>
  <c r="R130" i="7"/>
  <c r="P130" i="7"/>
  <c r="M130" i="7"/>
  <c r="J130" i="7"/>
  <c r="L130" i="7" s="1"/>
  <c r="H130" i="7"/>
  <c r="G130" i="7"/>
  <c r="F130" i="7"/>
  <c r="BJ129" i="7"/>
  <c r="BH129" i="7"/>
  <c r="BF129" i="7"/>
  <c r="BD129" i="7"/>
  <c r="BB129" i="7"/>
  <c r="AZ129" i="7"/>
  <c r="AX129" i="7"/>
  <c r="AV129" i="7"/>
  <c r="AT129" i="7"/>
  <c r="AR129" i="7"/>
  <c r="AP129" i="7"/>
  <c r="AN129" i="7"/>
  <c r="AL129" i="7"/>
  <c r="AJ129" i="7"/>
  <c r="AH129" i="7"/>
  <c r="AF129" i="7"/>
  <c r="AD129" i="7"/>
  <c r="AB129" i="7"/>
  <c r="Z129" i="7"/>
  <c r="X129" i="7"/>
  <c r="V129" i="7"/>
  <c r="T129" i="7"/>
  <c r="R129" i="7"/>
  <c r="P129" i="7"/>
  <c r="L129" i="7"/>
  <c r="J129" i="7"/>
  <c r="K129" i="7" s="1"/>
  <c r="H129" i="7"/>
  <c r="M129" i="7" s="1"/>
  <c r="G129" i="7"/>
  <c r="F129" i="7"/>
  <c r="BJ128" i="7"/>
  <c r="BH128" i="7"/>
  <c r="BF128" i="7"/>
  <c r="BD128" i="7"/>
  <c r="BB128" i="7"/>
  <c r="AZ128" i="7"/>
  <c r="AX128" i="7"/>
  <c r="AV128" i="7"/>
  <c r="AT128" i="7"/>
  <c r="AR128" i="7"/>
  <c r="AP128" i="7"/>
  <c r="AN128" i="7"/>
  <c r="AL128" i="7"/>
  <c r="AJ128" i="7"/>
  <c r="AH128" i="7"/>
  <c r="AF128" i="7"/>
  <c r="AD128" i="7"/>
  <c r="AB128" i="7"/>
  <c r="Z128" i="7"/>
  <c r="X128" i="7"/>
  <c r="V128" i="7"/>
  <c r="T128" i="7"/>
  <c r="R128" i="7"/>
  <c r="P128" i="7"/>
  <c r="M128" i="7"/>
  <c r="K128" i="7"/>
  <c r="J128" i="7"/>
  <c r="H128" i="7"/>
  <c r="G128" i="7"/>
  <c r="L128" i="7" s="1"/>
  <c r="F128" i="7"/>
  <c r="BJ127" i="7"/>
  <c r="BH127" i="7"/>
  <c r="BF127" i="7"/>
  <c r="BD127" i="7"/>
  <c r="BB127" i="7"/>
  <c r="AZ127" i="7"/>
  <c r="AX127" i="7"/>
  <c r="AV127" i="7"/>
  <c r="AT127" i="7"/>
  <c r="AR127" i="7"/>
  <c r="AP127" i="7"/>
  <c r="AN127" i="7"/>
  <c r="AL127" i="7"/>
  <c r="AJ127" i="7"/>
  <c r="AH127" i="7"/>
  <c r="AF127" i="7"/>
  <c r="AD127" i="7"/>
  <c r="AB127" i="7"/>
  <c r="Z127" i="7"/>
  <c r="X127" i="7"/>
  <c r="V127" i="7"/>
  <c r="T127" i="7"/>
  <c r="R127" i="7"/>
  <c r="P127" i="7"/>
  <c r="J127" i="7"/>
  <c r="M127" i="7" s="1"/>
  <c r="H127" i="7"/>
  <c r="G127" i="7"/>
  <c r="F127" i="7"/>
  <c r="BJ125" i="7"/>
  <c r="BH125" i="7"/>
  <c r="BF125" i="7"/>
  <c r="BD125" i="7"/>
  <c r="BB125" i="7"/>
  <c r="AZ125" i="7"/>
  <c r="AX125" i="7"/>
  <c r="AV125" i="7"/>
  <c r="AT125" i="7"/>
  <c r="AR125" i="7"/>
  <c r="AP125" i="7"/>
  <c r="AN125" i="7"/>
  <c r="AL125" i="7"/>
  <c r="AJ125" i="7"/>
  <c r="AH125" i="7"/>
  <c r="AF125" i="7"/>
  <c r="AD125" i="7"/>
  <c r="AB125" i="7"/>
  <c r="Z125" i="7"/>
  <c r="X125" i="7"/>
  <c r="V125" i="7"/>
  <c r="T125" i="7"/>
  <c r="R125" i="7"/>
  <c r="P125" i="7"/>
  <c r="J125" i="7"/>
  <c r="L125" i="7" s="1"/>
  <c r="H125" i="7"/>
  <c r="M125" i="7" s="1"/>
  <c r="G125" i="7"/>
  <c r="F125" i="7"/>
  <c r="BJ124" i="7"/>
  <c r="BH124" i="7"/>
  <c r="BF124" i="7"/>
  <c r="BD124" i="7"/>
  <c r="BB124" i="7"/>
  <c r="AZ124" i="7"/>
  <c r="AX124" i="7"/>
  <c r="AV124" i="7"/>
  <c r="AT124" i="7"/>
  <c r="AR124" i="7"/>
  <c r="AP124" i="7"/>
  <c r="AN124" i="7"/>
  <c r="AL124" i="7"/>
  <c r="AJ124" i="7"/>
  <c r="AH124" i="7"/>
  <c r="AF124" i="7"/>
  <c r="AD124" i="7"/>
  <c r="AB124" i="7"/>
  <c r="Z124" i="7"/>
  <c r="X124" i="7"/>
  <c r="V124" i="7"/>
  <c r="T124" i="7"/>
  <c r="R124" i="7"/>
  <c r="P124" i="7"/>
  <c r="M124" i="7"/>
  <c r="J124" i="7"/>
  <c r="K124" i="7" s="1"/>
  <c r="H124" i="7"/>
  <c r="G124" i="7"/>
  <c r="L124" i="7" s="1"/>
  <c r="F124" i="7"/>
  <c r="BJ123" i="7"/>
  <c r="BH123" i="7"/>
  <c r="BF123" i="7"/>
  <c r="BD123" i="7"/>
  <c r="BB123" i="7"/>
  <c r="AZ123" i="7"/>
  <c r="AX123" i="7"/>
  <c r="AV123" i="7"/>
  <c r="AT123" i="7"/>
  <c r="AR123" i="7"/>
  <c r="AP123" i="7"/>
  <c r="AN123" i="7"/>
  <c r="AL123" i="7"/>
  <c r="AJ123" i="7"/>
  <c r="AH123" i="7"/>
  <c r="AF123" i="7"/>
  <c r="AD123" i="7"/>
  <c r="AB123" i="7"/>
  <c r="Z123" i="7"/>
  <c r="X123" i="7"/>
  <c r="V123" i="7"/>
  <c r="T123" i="7"/>
  <c r="R123" i="7"/>
  <c r="P123" i="7"/>
  <c r="L123" i="7"/>
  <c r="K123" i="7"/>
  <c r="J123" i="7"/>
  <c r="M123" i="7" s="1"/>
  <c r="H123" i="7"/>
  <c r="G123" i="7"/>
  <c r="F123" i="7"/>
  <c r="BJ122" i="7"/>
  <c r="BH122" i="7"/>
  <c r="BF122" i="7"/>
  <c r="BD122" i="7"/>
  <c r="BB122" i="7"/>
  <c r="AZ122" i="7"/>
  <c r="AX122" i="7"/>
  <c r="AV122" i="7"/>
  <c r="AT122" i="7"/>
  <c r="AR122" i="7"/>
  <c r="AP122" i="7"/>
  <c r="AN122" i="7"/>
  <c r="AL122" i="7"/>
  <c r="AJ122" i="7"/>
  <c r="AH122" i="7"/>
  <c r="AF122" i="7"/>
  <c r="AD122" i="7"/>
  <c r="AB122" i="7"/>
  <c r="Z122" i="7"/>
  <c r="X122" i="7"/>
  <c r="V122" i="7"/>
  <c r="T122" i="7"/>
  <c r="R122" i="7"/>
  <c r="P122" i="7"/>
  <c r="J122" i="7"/>
  <c r="M122" i="7" s="1"/>
  <c r="H122" i="7"/>
  <c r="G122" i="7"/>
  <c r="F122" i="7"/>
  <c r="BJ121" i="7"/>
  <c r="BH121" i="7"/>
  <c r="BF121" i="7"/>
  <c r="BD121" i="7"/>
  <c r="BB121" i="7"/>
  <c r="AZ121" i="7"/>
  <c r="AX121" i="7"/>
  <c r="AV121" i="7"/>
  <c r="AT121" i="7"/>
  <c r="AR121" i="7"/>
  <c r="AP121" i="7"/>
  <c r="AN121" i="7"/>
  <c r="AL121" i="7"/>
  <c r="AJ121" i="7"/>
  <c r="AH121" i="7"/>
  <c r="AF121" i="7"/>
  <c r="AD121" i="7"/>
  <c r="AB121" i="7"/>
  <c r="Z121" i="7"/>
  <c r="X121" i="7"/>
  <c r="V121" i="7"/>
  <c r="T121" i="7"/>
  <c r="R121" i="7"/>
  <c r="P121" i="7"/>
  <c r="M121" i="7"/>
  <c r="J121" i="7"/>
  <c r="L121" i="7" s="1"/>
  <c r="H121" i="7"/>
  <c r="G121" i="7"/>
  <c r="F121" i="7"/>
  <c r="BJ119" i="7"/>
  <c r="BH119" i="7"/>
  <c r="BF119" i="7"/>
  <c r="BD119" i="7"/>
  <c r="BB119" i="7"/>
  <c r="AZ119" i="7"/>
  <c r="AX119" i="7"/>
  <c r="AV119" i="7"/>
  <c r="AT119" i="7"/>
  <c r="AR119" i="7"/>
  <c r="AP119" i="7"/>
  <c r="AN119" i="7"/>
  <c r="AL119" i="7"/>
  <c r="AJ119" i="7"/>
  <c r="AH119" i="7"/>
  <c r="AF119" i="7"/>
  <c r="AD119" i="7"/>
  <c r="AB119" i="7"/>
  <c r="Z119" i="7"/>
  <c r="X119" i="7"/>
  <c r="V119" i="7"/>
  <c r="T119" i="7"/>
  <c r="R119" i="7"/>
  <c r="P119" i="7"/>
  <c r="L119" i="7"/>
  <c r="K119" i="7"/>
  <c r="J119" i="7"/>
  <c r="H119" i="7"/>
  <c r="M119" i="7" s="1"/>
  <c r="G119" i="7"/>
  <c r="F119" i="7"/>
  <c r="BJ118" i="7"/>
  <c r="BH118" i="7"/>
  <c r="BF118" i="7"/>
  <c r="BD118" i="7"/>
  <c r="BB118" i="7"/>
  <c r="AZ118" i="7"/>
  <c r="AX118" i="7"/>
  <c r="AV118" i="7"/>
  <c r="AT118" i="7"/>
  <c r="AR118" i="7"/>
  <c r="AP118" i="7"/>
  <c r="AN118" i="7"/>
  <c r="AL118" i="7"/>
  <c r="AJ118" i="7"/>
  <c r="AH118" i="7"/>
  <c r="AF118" i="7"/>
  <c r="AD118" i="7"/>
  <c r="AB118" i="7"/>
  <c r="Z118" i="7"/>
  <c r="X118" i="7"/>
  <c r="V118" i="7"/>
  <c r="T118" i="7"/>
  <c r="R118" i="7"/>
  <c r="P118" i="7"/>
  <c r="M118" i="7"/>
  <c r="K118" i="7"/>
  <c r="J118" i="7"/>
  <c r="H118" i="7"/>
  <c r="G118" i="7"/>
  <c r="L118" i="7" s="1"/>
  <c r="F118" i="7"/>
  <c r="BJ117" i="7"/>
  <c r="BH117" i="7"/>
  <c r="BF117" i="7"/>
  <c r="BD117" i="7"/>
  <c r="BB117" i="7"/>
  <c r="AZ117" i="7"/>
  <c r="AX117" i="7"/>
  <c r="AV117" i="7"/>
  <c r="AT117" i="7"/>
  <c r="AR117" i="7"/>
  <c r="AP117" i="7"/>
  <c r="AN117" i="7"/>
  <c r="AL117" i="7"/>
  <c r="AJ117" i="7"/>
  <c r="AH117" i="7"/>
  <c r="AF117" i="7"/>
  <c r="AD117" i="7"/>
  <c r="AB117" i="7"/>
  <c r="Z117" i="7"/>
  <c r="X117" i="7"/>
  <c r="V117" i="7"/>
  <c r="T117" i="7"/>
  <c r="R117" i="7"/>
  <c r="P117" i="7"/>
  <c r="J117" i="7"/>
  <c r="M117" i="7" s="1"/>
  <c r="H117" i="7"/>
  <c r="G117" i="7"/>
  <c r="F117" i="7"/>
  <c r="BJ116" i="7"/>
  <c r="BH116" i="7"/>
  <c r="BF116" i="7"/>
  <c r="BD116" i="7"/>
  <c r="BB116" i="7"/>
  <c r="AZ116" i="7"/>
  <c r="AX116" i="7"/>
  <c r="AV116" i="7"/>
  <c r="AT116" i="7"/>
  <c r="AR116" i="7"/>
  <c r="AP116" i="7"/>
  <c r="AN116" i="7"/>
  <c r="AL116" i="7"/>
  <c r="AJ116" i="7"/>
  <c r="AH116" i="7"/>
  <c r="AF116" i="7"/>
  <c r="AD116" i="7"/>
  <c r="AB116" i="7"/>
  <c r="Z116" i="7"/>
  <c r="X116" i="7"/>
  <c r="V116" i="7"/>
  <c r="T116" i="7"/>
  <c r="R116" i="7"/>
  <c r="P116" i="7"/>
  <c r="J116" i="7"/>
  <c r="L116" i="7" s="1"/>
  <c r="H116" i="7"/>
  <c r="M116" i="7" s="1"/>
  <c r="G116" i="7"/>
  <c r="F116" i="7"/>
  <c r="BJ115" i="7"/>
  <c r="BH115" i="7"/>
  <c r="BF115" i="7"/>
  <c r="BD115" i="7"/>
  <c r="BB115" i="7"/>
  <c r="AZ115" i="7"/>
  <c r="AX115" i="7"/>
  <c r="AV115" i="7"/>
  <c r="AT115" i="7"/>
  <c r="AR115" i="7"/>
  <c r="AP115" i="7"/>
  <c r="AN115" i="7"/>
  <c r="AL115" i="7"/>
  <c r="AJ115" i="7"/>
  <c r="AH115" i="7"/>
  <c r="AF115" i="7"/>
  <c r="AD115" i="7"/>
  <c r="AB115" i="7"/>
  <c r="Z115" i="7"/>
  <c r="X115" i="7"/>
  <c r="V115" i="7"/>
  <c r="T115" i="7"/>
  <c r="R115" i="7"/>
  <c r="P115" i="7"/>
  <c r="M115" i="7"/>
  <c r="J115" i="7"/>
  <c r="K115" i="7" s="1"/>
  <c r="H115" i="7"/>
  <c r="G115" i="7"/>
  <c r="L115" i="7" s="1"/>
  <c r="F115" i="7"/>
  <c r="BJ113" i="7"/>
  <c r="BH113" i="7"/>
  <c r="BF113" i="7"/>
  <c r="BD113" i="7"/>
  <c r="BB113" i="7"/>
  <c r="AZ113" i="7"/>
  <c r="AX113" i="7"/>
  <c r="AV113" i="7"/>
  <c r="AT113" i="7"/>
  <c r="AR113" i="7"/>
  <c r="AP113" i="7"/>
  <c r="AN113" i="7"/>
  <c r="AL113" i="7"/>
  <c r="AJ113" i="7"/>
  <c r="AH113" i="7"/>
  <c r="AF113" i="7"/>
  <c r="AD113" i="7"/>
  <c r="AB113" i="7"/>
  <c r="Z113" i="7"/>
  <c r="X113" i="7"/>
  <c r="V113" i="7"/>
  <c r="T113" i="7"/>
  <c r="R113" i="7"/>
  <c r="P113" i="7"/>
  <c r="L113" i="7"/>
  <c r="K113" i="7"/>
  <c r="J113" i="7"/>
  <c r="M113" i="7" s="1"/>
  <c r="H113" i="7"/>
  <c r="G113" i="7"/>
  <c r="F113" i="7"/>
  <c r="BJ112" i="7"/>
  <c r="BH112" i="7"/>
  <c r="BF112" i="7"/>
  <c r="BD112" i="7"/>
  <c r="BB112" i="7"/>
  <c r="AZ112" i="7"/>
  <c r="AX112" i="7"/>
  <c r="AV112" i="7"/>
  <c r="AT112" i="7"/>
  <c r="AR112" i="7"/>
  <c r="AP112" i="7"/>
  <c r="AN112" i="7"/>
  <c r="AL112" i="7"/>
  <c r="AJ112" i="7"/>
  <c r="AH112" i="7"/>
  <c r="AF112" i="7"/>
  <c r="AD112" i="7"/>
  <c r="AB112" i="7"/>
  <c r="Z112" i="7"/>
  <c r="X112" i="7"/>
  <c r="V112" i="7"/>
  <c r="T112" i="7"/>
  <c r="R112" i="7"/>
  <c r="P112" i="7"/>
  <c r="J112" i="7"/>
  <c r="M112" i="7" s="1"/>
  <c r="H112" i="7"/>
  <c r="G112" i="7"/>
  <c r="F112" i="7"/>
  <c r="BJ111" i="7"/>
  <c r="BH111" i="7"/>
  <c r="BF111" i="7"/>
  <c r="BD111" i="7"/>
  <c r="BB111" i="7"/>
  <c r="AZ111" i="7"/>
  <c r="AX111" i="7"/>
  <c r="AV111" i="7"/>
  <c r="AT111" i="7"/>
  <c r="AR111" i="7"/>
  <c r="AP111" i="7"/>
  <c r="AN111" i="7"/>
  <c r="AL111" i="7"/>
  <c r="AJ111" i="7"/>
  <c r="AH111" i="7"/>
  <c r="AF111" i="7"/>
  <c r="AD111" i="7"/>
  <c r="AB111" i="7"/>
  <c r="Z111" i="7"/>
  <c r="X111" i="7"/>
  <c r="V111" i="7"/>
  <c r="T111" i="7"/>
  <c r="R111" i="7"/>
  <c r="P111" i="7"/>
  <c r="M111" i="7"/>
  <c r="J111" i="7"/>
  <c r="L111" i="7" s="1"/>
  <c r="H111" i="7"/>
  <c r="G111" i="7"/>
  <c r="F111" i="7"/>
  <c r="BJ110" i="7"/>
  <c r="BH110" i="7"/>
  <c r="BF110" i="7"/>
  <c r="BD110" i="7"/>
  <c r="BB110" i="7"/>
  <c r="AZ110" i="7"/>
  <c r="AX110" i="7"/>
  <c r="AV110" i="7"/>
  <c r="AT110" i="7"/>
  <c r="AR110" i="7"/>
  <c r="AP110" i="7"/>
  <c r="AN110" i="7"/>
  <c r="AL110" i="7"/>
  <c r="AJ110" i="7"/>
  <c r="AH110" i="7"/>
  <c r="AF110" i="7"/>
  <c r="AD110" i="7"/>
  <c r="AB110" i="7"/>
  <c r="Z110" i="7"/>
  <c r="X110" i="7"/>
  <c r="V110" i="7"/>
  <c r="T110" i="7"/>
  <c r="R110" i="7"/>
  <c r="P110" i="7"/>
  <c r="L110" i="7"/>
  <c r="J110" i="7"/>
  <c r="K110" i="7" s="1"/>
  <c r="H110" i="7"/>
  <c r="M110" i="7" s="1"/>
  <c r="G110" i="7"/>
  <c r="F110" i="7"/>
  <c r="BJ109" i="7"/>
  <c r="BH109" i="7"/>
  <c r="BF109" i="7"/>
  <c r="BD109" i="7"/>
  <c r="BB109" i="7"/>
  <c r="AZ109" i="7"/>
  <c r="AX109" i="7"/>
  <c r="AV109" i="7"/>
  <c r="AT109" i="7"/>
  <c r="AR109" i="7"/>
  <c r="AP109" i="7"/>
  <c r="AN109" i="7"/>
  <c r="AL109" i="7"/>
  <c r="AJ109" i="7"/>
  <c r="AH109" i="7"/>
  <c r="AF109" i="7"/>
  <c r="AD109" i="7"/>
  <c r="AB109" i="7"/>
  <c r="Z109" i="7"/>
  <c r="X109" i="7"/>
  <c r="V109" i="7"/>
  <c r="T109" i="7"/>
  <c r="R109" i="7"/>
  <c r="P109" i="7"/>
  <c r="M109" i="7"/>
  <c r="K109" i="7"/>
  <c r="J109" i="7"/>
  <c r="H109" i="7"/>
  <c r="G109" i="7"/>
  <c r="L109" i="7" s="1"/>
  <c r="F109" i="7"/>
  <c r="BJ107" i="7"/>
  <c r="BH107" i="7"/>
  <c r="BF107" i="7"/>
  <c r="BD107" i="7"/>
  <c r="BB107" i="7"/>
  <c r="AZ107" i="7"/>
  <c r="AX107" i="7"/>
  <c r="AV107" i="7"/>
  <c r="AT107" i="7"/>
  <c r="AR107" i="7"/>
  <c r="AP107" i="7"/>
  <c r="AN107" i="7"/>
  <c r="AL107" i="7"/>
  <c r="AJ107" i="7"/>
  <c r="AH107" i="7"/>
  <c r="AF107" i="7"/>
  <c r="AD107" i="7"/>
  <c r="AB107" i="7"/>
  <c r="Z107" i="7"/>
  <c r="X107" i="7"/>
  <c r="V107" i="7"/>
  <c r="T107" i="7"/>
  <c r="R107" i="7"/>
  <c r="P107" i="7"/>
  <c r="J107" i="7"/>
  <c r="M107" i="7" s="1"/>
  <c r="H107" i="7"/>
  <c r="G107" i="7"/>
  <c r="F107" i="7"/>
  <c r="BJ106" i="7"/>
  <c r="BH106" i="7"/>
  <c r="BF106" i="7"/>
  <c r="BD106" i="7"/>
  <c r="BB106" i="7"/>
  <c r="AZ106" i="7"/>
  <c r="AX106" i="7"/>
  <c r="AV106" i="7"/>
  <c r="AT106" i="7"/>
  <c r="AR106" i="7"/>
  <c r="AP106" i="7"/>
  <c r="AN106" i="7"/>
  <c r="AL106" i="7"/>
  <c r="AJ106" i="7"/>
  <c r="AH106" i="7"/>
  <c r="AF106" i="7"/>
  <c r="AD106" i="7"/>
  <c r="AB106" i="7"/>
  <c r="Z106" i="7"/>
  <c r="X106" i="7"/>
  <c r="V106" i="7"/>
  <c r="T106" i="7"/>
  <c r="R106" i="7"/>
  <c r="P106" i="7"/>
  <c r="J106" i="7"/>
  <c r="L106" i="7" s="1"/>
  <c r="H106" i="7"/>
  <c r="M106" i="7" s="1"/>
  <c r="G106" i="7"/>
  <c r="F106" i="7"/>
  <c r="BJ105" i="7"/>
  <c r="BH105" i="7"/>
  <c r="BF105" i="7"/>
  <c r="BD105" i="7"/>
  <c r="BB105" i="7"/>
  <c r="AZ105" i="7"/>
  <c r="AX105" i="7"/>
  <c r="AV105" i="7"/>
  <c r="AT105" i="7"/>
  <c r="AR105" i="7"/>
  <c r="AP105" i="7"/>
  <c r="AN105" i="7"/>
  <c r="AL105" i="7"/>
  <c r="AJ105" i="7"/>
  <c r="AH105" i="7"/>
  <c r="AF105" i="7"/>
  <c r="AD105" i="7"/>
  <c r="AB105" i="7"/>
  <c r="Z105" i="7"/>
  <c r="X105" i="7"/>
  <c r="V105" i="7"/>
  <c r="T105" i="7"/>
  <c r="R105" i="7"/>
  <c r="P105" i="7"/>
  <c r="M105" i="7"/>
  <c r="J105" i="7"/>
  <c r="K105" i="7" s="1"/>
  <c r="H105" i="7"/>
  <c r="G105" i="7"/>
  <c r="L105" i="7" s="1"/>
  <c r="F105" i="7"/>
  <c r="BJ104" i="7"/>
  <c r="BH104" i="7"/>
  <c r="BF104" i="7"/>
  <c r="BD104" i="7"/>
  <c r="BB104" i="7"/>
  <c r="AZ104" i="7"/>
  <c r="AX104" i="7"/>
  <c r="AV104" i="7"/>
  <c r="AT104" i="7"/>
  <c r="AR104" i="7"/>
  <c r="AP104" i="7"/>
  <c r="AN104" i="7"/>
  <c r="AL104" i="7"/>
  <c r="AJ104" i="7"/>
  <c r="AH104" i="7"/>
  <c r="AF104" i="7"/>
  <c r="AD104" i="7"/>
  <c r="AB104" i="7"/>
  <c r="Z104" i="7"/>
  <c r="X104" i="7"/>
  <c r="V104" i="7"/>
  <c r="T104" i="7"/>
  <c r="R104" i="7"/>
  <c r="P104" i="7"/>
  <c r="L104" i="7"/>
  <c r="K104" i="7"/>
  <c r="J104" i="7"/>
  <c r="M104" i="7" s="1"/>
  <c r="H104" i="7"/>
  <c r="G104" i="7"/>
  <c r="F104" i="7"/>
  <c r="BJ102" i="7"/>
  <c r="BH102" i="7"/>
  <c r="BF102" i="7"/>
  <c r="BD102" i="7"/>
  <c r="BB102" i="7"/>
  <c r="AZ102" i="7"/>
  <c r="AX102" i="7"/>
  <c r="AV102" i="7"/>
  <c r="AT102" i="7"/>
  <c r="AR102" i="7"/>
  <c r="AP102" i="7"/>
  <c r="AN102" i="7"/>
  <c r="AL102" i="7"/>
  <c r="AJ102" i="7"/>
  <c r="AH102" i="7"/>
  <c r="AF102" i="7"/>
  <c r="AD102" i="7"/>
  <c r="AB102" i="7"/>
  <c r="Z102" i="7"/>
  <c r="X102" i="7"/>
  <c r="V102" i="7"/>
  <c r="T102" i="7"/>
  <c r="R102" i="7"/>
  <c r="P102" i="7"/>
  <c r="J102" i="7"/>
  <c r="M102" i="7" s="1"/>
  <c r="H102" i="7"/>
  <c r="G102" i="7"/>
  <c r="F102" i="7"/>
  <c r="BJ101" i="7"/>
  <c r="BH101" i="7"/>
  <c r="BF101" i="7"/>
  <c r="BD101" i="7"/>
  <c r="BB101" i="7"/>
  <c r="AZ101" i="7"/>
  <c r="AX101" i="7"/>
  <c r="AV101" i="7"/>
  <c r="AT101" i="7"/>
  <c r="AR101" i="7"/>
  <c r="AP101" i="7"/>
  <c r="AN101" i="7"/>
  <c r="AL101" i="7"/>
  <c r="AJ101" i="7"/>
  <c r="AH101" i="7"/>
  <c r="AF101" i="7"/>
  <c r="AD101" i="7"/>
  <c r="AB101" i="7"/>
  <c r="Z101" i="7"/>
  <c r="X101" i="7"/>
  <c r="V101" i="7"/>
  <c r="T101" i="7"/>
  <c r="R101" i="7"/>
  <c r="P101" i="7"/>
  <c r="M101" i="7"/>
  <c r="J101" i="7"/>
  <c r="L101" i="7" s="1"/>
  <c r="H101" i="7"/>
  <c r="G101" i="7"/>
  <c r="F101" i="7"/>
  <c r="BJ100" i="7"/>
  <c r="BH100" i="7"/>
  <c r="BF100" i="7"/>
  <c r="BD100" i="7"/>
  <c r="BB100" i="7"/>
  <c r="AZ100" i="7"/>
  <c r="AX100" i="7"/>
  <c r="AV100" i="7"/>
  <c r="AT100" i="7"/>
  <c r="AR100" i="7"/>
  <c r="AP100" i="7"/>
  <c r="AN100" i="7"/>
  <c r="AL100" i="7"/>
  <c r="AJ100" i="7"/>
  <c r="AH100" i="7"/>
  <c r="AF100" i="7"/>
  <c r="AD100" i="7"/>
  <c r="AB100" i="7"/>
  <c r="Z100" i="7"/>
  <c r="X100" i="7"/>
  <c r="V100" i="7"/>
  <c r="T100" i="7"/>
  <c r="R100" i="7"/>
  <c r="P100" i="7"/>
  <c r="L100" i="7"/>
  <c r="J100" i="7"/>
  <c r="K100" i="7" s="1"/>
  <c r="H100" i="7"/>
  <c r="M100" i="7" s="1"/>
  <c r="G100" i="7"/>
  <c r="F100" i="7"/>
  <c r="BJ98" i="7"/>
  <c r="BH98" i="7"/>
  <c r="BF98" i="7"/>
  <c r="BD98" i="7"/>
  <c r="BB98" i="7"/>
  <c r="AZ98" i="7"/>
  <c r="AX98" i="7"/>
  <c r="AV98" i="7"/>
  <c r="AT98" i="7"/>
  <c r="AR98" i="7"/>
  <c r="AP98" i="7"/>
  <c r="AN98" i="7"/>
  <c r="AL98" i="7"/>
  <c r="AJ98" i="7"/>
  <c r="AH98" i="7"/>
  <c r="AF98" i="7"/>
  <c r="AD98" i="7"/>
  <c r="AB98" i="7"/>
  <c r="Z98" i="7"/>
  <c r="X98" i="7"/>
  <c r="V98" i="7"/>
  <c r="T98" i="7"/>
  <c r="R98" i="7"/>
  <c r="P98" i="7"/>
  <c r="M98" i="7"/>
  <c r="K98" i="7"/>
  <c r="J98" i="7"/>
  <c r="H98" i="7"/>
  <c r="G98" i="7"/>
  <c r="L98" i="7" s="1"/>
  <c r="F98" i="7"/>
  <c r="BJ97" i="7"/>
  <c r="BH97" i="7"/>
  <c r="BF97" i="7"/>
  <c r="BD97" i="7"/>
  <c r="BB97" i="7"/>
  <c r="AZ97" i="7"/>
  <c r="AX97" i="7"/>
  <c r="AV97" i="7"/>
  <c r="AT97" i="7"/>
  <c r="AR97" i="7"/>
  <c r="AP97" i="7"/>
  <c r="AN97" i="7"/>
  <c r="AL97" i="7"/>
  <c r="AJ97" i="7"/>
  <c r="AH97" i="7"/>
  <c r="AF97" i="7"/>
  <c r="AD97" i="7"/>
  <c r="AB97" i="7"/>
  <c r="Z97" i="7"/>
  <c r="X97" i="7"/>
  <c r="V97" i="7"/>
  <c r="T97" i="7"/>
  <c r="R97" i="7"/>
  <c r="P97" i="7"/>
  <c r="J97" i="7"/>
  <c r="M97" i="7" s="1"/>
  <c r="H97" i="7"/>
  <c r="G97" i="7"/>
  <c r="F97" i="7"/>
  <c r="BJ95" i="7"/>
  <c r="BH95" i="7"/>
  <c r="BF95" i="7"/>
  <c r="BD95" i="7"/>
  <c r="BB95" i="7"/>
  <c r="AZ95" i="7"/>
  <c r="AX95" i="7"/>
  <c r="AV95" i="7"/>
  <c r="AT95" i="7"/>
  <c r="AR95" i="7"/>
  <c r="AP95" i="7"/>
  <c r="AN95" i="7"/>
  <c r="AL95" i="7"/>
  <c r="AJ95" i="7"/>
  <c r="AH95" i="7"/>
  <c r="AF95" i="7"/>
  <c r="AD95" i="7"/>
  <c r="AB95" i="7"/>
  <c r="Z95" i="7"/>
  <c r="X95" i="7"/>
  <c r="V95" i="7"/>
  <c r="T95" i="7"/>
  <c r="R95" i="7"/>
  <c r="P95" i="7"/>
  <c r="J95" i="7"/>
  <c r="L95" i="7" s="1"/>
  <c r="H95" i="7"/>
  <c r="M95" i="7" s="1"/>
  <c r="G95" i="7"/>
  <c r="F95" i="7"/>
  <c r="BJ94" i="7"/>
  <c r="BH94" i="7"/>
  <c r="BF94" i="7"/>
  <c r="BD94" i="7"/>
  <c r="BB94" i="7"/>
  <c r="AZ94" i="7"/>
  <c r="AX94" i="7"/>
  <c r="AV94" i="7"/>
  <c r="AT94" i="7"/>
  <c r="AR94" i="7"/>
  <c r="AP94" i="7"/>
  <c r="AN94" i="7"/>
  <c r="AL94" i="7"/>
  <c r="AJ94" i="7"/>
  <c r="AH94" i="7"/>
  <c r="AF94" i="7"/>
  <c r="AD94" i="7"/>
  <c r="AB94" i="7"/>
  <c r="Z94" i="7"/>
  <c r="X94" i="7"/>
  <c r="V94" i="7"/>
  <c r="T94" i="7"/>
  <c r="R94" i="7"/>
  <c r="P94" i="7"/>
  <c r="M94" i="7"/>
  <c r="J94" i="7"/>
  <c r="K94" i="7" s="1"/>
  <c r="H94" i="7"/>
  <c r="G94" i="7"/>
  <c r="L94" i="7" s="1"/>
  <c r="F94" i="7"/>
  <c r="BJ93" i="7"/>
  <c r="BH93" i="7"/>
  <c r="BF93" i="7"/>
  <c r="BD93" i="7"/>
  <c r="BB93" i="7"/>
  <c r="AZ93" i="7"/>
  <c r="AX93" i="7"/>
  <c r="AV93" i="7"/>
  <c r="AT93" i="7"/>
  <c r="AR93" i="7"/>
  <c r="AP93" i="7"/>
  <c r="AN93" i="7"/>
  <c r="AL93" i="7"/>
  <c r="AJ93" i="7"/>
  <c r="AH93" i="7"/>
  <c r="AF93" i="7"/>
  <c r="AD93" i="7"/>
  <c r="AB93" i="7"/>
  <c r="Z93" i="7"/>
  <c r="X93" i="7"/>
  <c r="V93" i="7"/>
  <c r="T93" i="7"/>
  <c r="R93" i="7"/>
  <c r="P93" i="7"/>
  <c r="L93" i="7"/>
  <c r="K93" i="7"/>
  <c r="J93" i="7"/>
  <c r="M93" i="7" s="1"/>
  <c r="H93" i="7"/>
  <c r="G93" i="7"/>
  <c r="F93" i="7"/>
  <c r="BJ92" i="7"/>
  <c r="BH92" i="7"/>
  <c r="BF92" i="7"/>
  <c r="BD92" i="7"/>
  <c r="BB92" i="7"/>
  <c r="AZ92" i="7"/>
  <c r="AX92" i="7"/>
  <c r="AV92" i="7"/>
  <c r="AT92" i="7"/>
  <c r="AR92" i="7"/>
  <c r="AP92" i="7"/>
  <c r="AN92" i="7"/>
  <c r="AL92" i="7"/>
  <c r="AJ92" i="7"/>
  <c r="AH92" i="7"/>
  <c r="AF92" i="7"/>
  <c r="AD92" i="7"/>
  <c r="AB92" i="7"/>
  <c r="Z92" i="7"/>
  <c r="X92" i="7"/>
  <c r="V92" i="7"/>
  <c r="T92" i="7"/>
  <c r="R92" i="7"/>
  <c r="P92" i="7"/>
  <c r="J92" i="7"/>
  <c r="M92" i="7" s="1"/>
  <c r="H92" i="7"/>
  <c r="G92" i="7"/>
  <c r="F92" i="7"/>
  <c r="BJ91" i="7"/>
  <c r="BH91" i="7"/>
  <c r="BF91" i="7"/>
  <c r="BD91" i="7"/>
  <c r="BB91" i="7"/>
  <c r="AZ91" i="7"/>
  <c r="AX91" i="7"/>
  <c r="AV91" i="7"/>
  <c r="AT91" i="7"/>
  <c r="AR91" i="7"/>
  <c r="AP91" i="7"/>
  <c r="AN91" i="7"/>
  <c r="AL91" i="7"/>
  <c r="AJ91" i="7"/>
  <c r="AH91" i="7"/>
  <c r="AF91" i="7"/>
  <c r="AD91" i="7"/>
  <c r="AB91" i="7"/>
  <c r="Z91" i="7"/>
  <c r="X91" i="7"/>
  <c r="V91" i="7"/>
  <c r="T91" i="7"/>
  <c r="R91" i="7"/>
  <c r="P91" i="7"/>
  <c r="M91" i="7"/>
  <c r="J91" i="7"/>
  <c r="L91" i="7" s="1"/>
  <c r="H91" i="7"/>
  <c r="G91" i="7"/>
  <c r="F91" i="7"/>
  <c r="BJ90" i="7"/>
  <c r="BH90" i="7"/>
  <c r="BF90" i="7"/>
  <c r="BD90" i="7"/>
  <c r="BB90" i="7"/>
  <c r="AZ90" i="7"/>
  <c r="AX90" i="7"/>
  <c r="AV90" i="7"/>
  <c r="AT90" i="7"/>
  <c r="AR90" i="7"/>
  <c r="AP90" i="7"/>
  <c r="AN90" i="7"/>
  <c r="AL90" i="7"/>
  <c r="AJ90" i="7"/>
  <c r="AH90" i="7"/>
  <c r="AF90" i="7"/>
  <c r="AD90" i="7"/>
  <c r="AB90" i="7"/>
  <c r="Z90" i="7"/>
  <c r="X90" i="7"/>
  <c r="V90" i="7"/>
  <c r="T90" i="7"/>
  <c r="R90" i="7"/>
  <c r="P90" i="7"/>
  <c r="L90" i="7"/>
  <c r="J90" i="7"/>
  <c r="K90" i="7" s="1"/>
  <c r="H90" i="7"/>
  <c r="M90" i="7" s="1"/>
  <c r="G90" i="7"/>
  <c r="F90" i="7"/>
  <c r="BJ88" i="7"/>
  <c r="BH88" i="7"/>
  <c r="BF88" i="7"/>
  <c r="BD88" i="7"/>
  <c r="BB88" i="7"/>
  <c r="AZ88" i="7"/>
  <c r="AX88" i="7"/>
  <c r="AV88" i="7"/>
  <c r="AT88" i="7"/>
  <c r="AR88" i="7"/>
  <c r="AP88" i="7"/>
  <c r="AN88" i="7"/>
  <c r="AL88" i="7"/>
  <c r="AJ88" i="7"/>
  <c r="AH88" i="7"/>
  <c r="AF88" i="7"/>
  <c r="AD88" i="7"/>
  <c r="AB88" i="7"/>
  <c r="Z88" i="7"/>
  <c r="X88" i="7"/>
  <c r="V88" i="7"/>
  <c r="T88" i="7"/>
  <c r="R88" i="7"/>
  <c r="P88" i="7"/>
  <c r="M88" i="7"/>
  <c r="K88" i="7"/>
  <c r="J88" i="7"/>
  <c r="H88" i="7"/>
  <c r="G88" i="7"/>
  <c r="L88" i="7" s="1"/>
  <c r="F88" i="7"/>
  <c r="BJ87" i="7"/>
  <c r="BH87" i="7"/>
  <c r="BF87" i="7"/>
  <c r="BD87" i="7"/>
  <c r="BB87" i="7"/>
  <c r="AZ87" i="7"/>
  <c r="AX87" i="7"/>
  <c r="AV87" i="7"/>
  <c r="AT87" i="7"/>
  <c r="AR87" i="7"/>
  <c r="AP87" i="7"/>
  <c r="AN87" i="7"/>
  <c r="AL87" i="7"/>
  <c r="AJ87" i="7"/>
  <c r="AH87" i="7"/>
  <c r="AF87" i="7"/>
  <c r="AD87" i="7"/>
  <c r="AB87" i="7"/>
  <c r="Z87" i="7"/>
  <c r="X87" i="7"/>
  <c r="V87" i="7"/>
  <c r="T87" i="7"/>
  <c r="R87" i="7"/>
  <c r="P87" i="7"/>
  <c r="J87" i="7"/>
  <c r="M87" i="7" s="1"/>
  <c r="H87" i="7"/>
  <c r="G87" i="7"/>
  <c r="F87" i="7"/>
  <c r="BJ86" i="7"/>
  <c r="BH86" i="7"/>
  <c r="BF86" i="7"/>
  <c r="BD86" i="7"/>
  <c r="BB86" i="7"/>
  <c r="AZ86" i="7"/>
  <c r="AX86" i="7"/>
  <c r="AV86" i="7"/>
  <c r="AT86" i="7"/>
  <c r="AR86" i="7"/>
  <c r="AP86" i="7"/>
  <c r="AN86" i="7"/>
  <c r="AL86" i="7"/>
  <c r="AJ86" i="7"/>
  <c r="AH86" i="7"/>
  <c r="AF86" i="7"/>
  <c r="AD86" i="7"/>
  <c r="AB86" i="7"/>
  <c r="Z86" i="7"/>
  <c r="X86" i="7"/>
  <c r="V86" i="7"/>
  <c r="T86" i="7"/>
  <c r="R86" i="7"/>
  <c r="P86" i="7"/>
  <c r="J86" i="7"/>
  <c r="L86" i="7" s="1"/>
  <c r="H86" i="7"/>
  <c r="M86" i="7" s="1"/>
  <c r="G86" i="7"/>
  <c r="F86" i="7"/>
  <c r="BJ85" i="7"/>
  <c r="BH85" i="7"/>
  <c r="BF85" i="7"/>
  <c r="BD85" i="7"/>
  <c r="BB85" i="7"/>
  <c r="AZ85" i="7"/>
  <c r="AX85" i="7"/>
  <c r="AV85" i="7"/>
  <c r="AT85" i="7"/>
  <c r="AR85" i="7"/>
  <c r="AP85" i="7"/>
  <c r="AN85" i="7"/>
  <c r="AL85" i="7"/>
  <c r="AJ85" i="7"/>
  <c r="AH85" i="7"/>
  <c r="AF85" i="7"/>
  <c r="AD85" i="7"/>
  <c r="AB85" i="7"/>
  <c r="Z85" i="7"/>
  <c r="X85" i="7"/>
  <c r="V85" i="7"/>
  <c r="T85" i="7"/>
  <c r="R85" i="7"/>
  <c r="P85" i="7"/>
  <c r="M85" i="7"/>
  <c r="J85" i="7"/>
  <c r="K85" i="7" s="1"/>
  <c r="H85" i="7"/>
  <c r="G85" i="7"/>
  <c r="L85" i="7" s="1"/>
  <c r="F85" i="7"/>
  <c r="BJ84" i="7"/>
  <c r="BH84" i="7"/>
  <c r="BF84" i="7"/>
  <c r="BD84" i="7"/>
  <c r="BB84" i="7"/>
  <c r="AZ84" i="7"/>
  <c r="AX84" i="7"/>
  <c r="AV84" i="7"/>
  <c r="AT84" i="7"/>
  <c r="AR84" i="7"/>
  <c r="AP84" i="7"/>
  <c r="AN84" i="7"/>
  <c r="AL84" i="7"/>
  <c r="AJ84" i="7"/>
  <c r="AH84" i="7"/>
  <c r="AF84" i="7"/>
  <c r="AD84" i="7"/>
  <c r="AB84" i="7"/>
  <c r="Z84" i="7"/>
  <c r="X84" i="7"/>
  <c r="V84" i="7"/>
  <c r="T84" i="7"/>
  <c r="R84" i="7"/>
  <c r="P84" i="7"/>
  <c r="L84" i="7"/>
  <c r="K84" i="7"/>
  <c r="J84" i="7"/>
  <c r="M84" i="7" s="1"/>
  <c r="H84" i="7"/>
  <c r="G84" i="7"/>
  <c r="F84" i="7"/>
  <c r="BJ82" i="7"/>
  <c r="BH82" i="7"/>
  <c r="BF82" i="7"/>
  <c r="BD82" i="7"/>
  <c r="BB82" i="7"/>
  <c r="AZ82" i="7"/>
  <c r="AX82" i="7"/>
  <c r="AV82" i="7"/>
  <c r="AT82" i="7"/>
  <c r="AR82" i="7"/>
  <c r="AP82" i="7"/>
  <c r="AN82" i="7"/>
  <c r="AL82" i="7"/>
  <c r="AJ82" i="7"/>
  <c r="AH82" i="7"/>
  <c r="AF82" i="7"/>
  <c r="AD82" i="7"/>
  <c r="AB82" i="7"/>
  <c r="Z82" i="7"/>
  <c r="X82" i="7"/>
  <c r="V82" i="7"/>
  <c r="T82" i="7"/>
  <c r="R82" i="7"/>
  <c r="P82" i="7"/>
  <c r="J82" i="7"/>
  <c r="M82" i="7" s="1"/>
  <c r="H82" i="7"/>
  <c r="G82" i="7"/>
  <c r="F82" i="7"/>
  <c r="BJ81" i="7"/>
  <c r="BH81" i="7"/>
  <c r="BF81" i="7"/>
  <c r="BD81" i="7"/>
  <c r="BB81" i="7"/>
  <c r="AZ81" i="7"/>
  <c r="AX81" i="7"/>
  <c r="AV81" i="7"/>
  <c r="AT81" i="7"/>
  <c r="AR81" i="7"/>
  <c r="AP81" i="7"/>
  <c r="AN81" i="7"/>
  <c r="AL81" i="7"/>
  <c r="AJ81" i="7"/>
  <c r="AH81" i="7"/>
  <c r="AF81" i="7"/>
  <c r="AD81" i="7"/>
  <c r="AB81" i="7"/>
  <c r="Z81" i="7"/>
  <c r="X81" i="7"/>
  <c r="V81" i="7"/>
  <c r="T81" i="7"/>
  <c r="R81" i="7"/>
  <c r="P81" i="7"/>
  <c r="M81" i="7"/>
  <c r="J81" i="7"/>
  <c r="L81" i="7" s="1"/>
  <c r="H81" i="7"/>
  <c r="G81" i="7"/>
  <c r="F81" i="7"/>
  <c r="BJ80" i="7"/>
  <c r="BH80" i="7"/>
  <c r="BF80" i="7"/>
  <c r="BD80" i="7"/>
  <c r="BB80" i="7"/>
  <c r="AZ80" i="7"/>
  <c r="AX80" i="7"/>
  <c r="AV80" i="7"/>
  <c r="AT80" i="7"/>
  <c r="AR80" i="7"/>
  <c r="AP80" i="7"/>
  <c r="AN80" i="7"/>
  <c r="AL80" i="7"/>
  <c r="AJ80" i="7"/>
  <c r="AH80" i="7"/>
  <c r="AF80" i="7"/>
  <c r="AD80" i="7"/>
  <c r="AB80" i="7"/>
  <c r="Z80" i="7"/>
  <c r="X80" i="7"/>
  <c r="V80" i="7"/>
  <c r="T80" i="7"/>
  <c r="R80" i="7"/>
  <c r="P80" i="7"/>
  <c r="L80" i="7"/>
  <c r="J80" i="7"/>
  <c r="M80" i="7" s="1"/>
  <c r="H80" i="7"/>
  <c r="G80" i="7"/>
  <c r="F80" i="7"/>
  <c r="BJ78" i="7"/>
  <c r="BH78" i="7"/>
  <c r="BF78" i="7"/>
  <c r="BD78" i="7"/>
  <c r="BB78" i="7"/>
  <c r="AZ78" i="7"/>
  <c r="AX78" i="7"/>
  <c r="AV78" i="7"/>
  <c r="AT78" i="7"/>
  <c r="AR78" i="7"/>
  <c r="AP78" i="7"/>
  <c r="AN78" i="7"/>
  <c r="AL78" i="7"/>
  <c r="AJ78" i="7"/>
  <c r="AH78" i="7"/>
  <c r="AF78" i="7"/>
  <c r="AD78" i="7"/>
  <c r="AB78" i="7"/>
  <c r="Z78" i="7"/>
  <c r="X78" i="7"/>
  <c r="V78" i="7"/>
  <c r="T78" i="7"/>
  <c r="R78" i="7"/>
  <c r="P78" i="7"/>
  <c r="K78" i="7"/>
  <c r="J78" i="7"/>
  <c r="M78" i="7" s="1"/>
  <c r="H78" i="7"/>
  <c r="G78" i="7"/>
  <c r="F78" i="7"/>
  <c r="BJ77" i="7"/>
  <c r="BH77" i="7"/>
  <c r="BF77" i="7"/>
  <c r="BD77" i="7"/>
  <c r="BB77" i="7"/>
  <c r="AZ77" i="7"/>
  <c r="AX77" i="7"/>
  <c r="AV77" i="7"/>
  <c r="AT77" i="7"/>
  <c r="AR77" i="7"/>
  <c r="AP77" i="7"/>
  <c r="AN77" i="7"/>
  <c r="AL77" i="7"/>
  <c r="AJ77" i="7"/>
  <c r="AH77" i="7"/>
  <c r="AF77" i="7"/>
  <c r="AD77" i="7"/>
  <c r="AB77" i="7"/>
  <c r="Z77" i="7"/>
  <c r="X77" i="7"/>
  <c r="V77" i="7"/>
  <c r="T77" i="7"/>
  <c r="R77" i="7"/>
  <c r="P77" i="7"/>
  <c r="J77" i="7"/>
  <c r="M77" i="7" s="1"/>
  <c r="H77" i="7"/>
  <c r="G77" i="7"/>
  <c r="F77" i="7"/>
  <c r="BJ76" i="7"/>
  <c r="BH76" i="7"/>
  <c r="BF76" i="7"/>
  <c r="BD76" i="7"/>
  <c r="BB76" i="7"/>
  <c r="AZ76" i="7"/>
  <c r="AX76" i="7"/>
  <c r="AV76" i="7"/>
  <c r="AT76" i="7"/>
  <c r="AR76" i="7"/>
  <c r="AP76" i="7"/>
  <c r="AN76" i="7"/>
  <c r="AL76" i="7"/>
  <c r="AJ76" i="7"/>
  <c r="AH76" i="7"/>
  <c r="AF76" i="7"/>
  <c r="AD76" i="7"/>
  <c r="AB76" i="7"/>
  <c r="Z76" i="7"/>
  <c r="X76" i="7"/>
  <c r="V76" i="7"/>
  <c r="T76" i="7"/>
  <c r="R76" i="7"/>
  <c r="P76" i="7"/>
  <c r="J76" i="7"/>
  <c r="L76" i="7" s="1"/>
  <c r="H76" i="7"/>
  <c r="M76" i="7" s="1"/>
  <c r="G76" i="7"/>
  <c r="F76" i="7"/>
  <c r="BJ74" i="7"/>
  <c r="BH74" i="7"/>
  <c r="BF74" i="7"/>
  <c r="BD74" i="7"/>
  <c r="BB74" i="7"/>
  <c r="AZ74" i="7"/>
  <c r="AX74" i="7"/>
  <c r="AV74" i="7"/>
  <c r="AT74" i="7"/>
  <c r="AR74" i="7"/>
  <c r="AP74" i="7"/>
  <c r="AN74" i="7"/>
  <c r="AL74" i="7"/>
  <c r="AJ74" i="7"/>
  <c r="AH74" i="7"/>
  <c r="AF74" i="7"/>
  <c r="AD74" i="7"/>
  <c r="AB74" i="7"/>
  <c r="Z74" i="7"/>
  <c r="X74" i="7"/>
  <c r="V74" i="7"/>
  <c r="T74" i="7"/>
  <c r="R74" i="7"/>
  <c r="P74" i="7"/>
  <c r="M74" i="7"/>
  <c r="J74" i="7"/>
  <c r="K74" i="7" s="1"/>
  <c r="H74" i="7"/>
  <c r="G74" i="7"/>
  <c r="L74" i="7" s="1"/>
  <c r="F74" i="7"/>
  <c r="BJ73" i="7"/>
  <c r="BH73" i="7"/>
  <c r="BF73" i="7"/>
  <c r="BD73" i="7"/>
  <c r="BB73" i="7"/>
  <c r="AZ73" i="7"/>
  <c r="AX73" i="7"/>
  <c r="AV73" i="7"/>
  <c r="AT73" i="7"/>
  <c r="AR73" i="7"/>
  <c r="AP73" i="7"/>
  <c r="AN73" i="7"/>
  <c r="AL73" i="7"/>
  <c r="AJ73" i="7"/>
  <c r="AH73" i="7"/>
  <c r="AF73" i="7"/>
  <c r="AD73" i="7"/>
  <c r="AB73" i="7"/>
  <c r="Z73" i="7"/>
  <c r="X73" i="7"/>
  <c r="V73" i="7"/>
  <c r="T73" i="7"/>
  <c r="R73" i="7"/>
  <c r="P73" i="7"/>
  <c r="L73" i="7"/>
  <c r="K73" i="7"/>
  <c r="J73" i="7"/>
  <c r="M73" i="7" s="1"/>
  <c r="H73" i="7"/>
  <c r="G73" i="7"/>
  <c r="F73" i="7"/>
  <c r="BJ72" i="7"/>
  <c r="BH72" i="7"/>
  <c r="BF72" i="7"/>
  <c r="BD72" i="7"/>
  <c r="BB72" i="7"/>
  <c r="AZ72" i="7"/>
  <c r="AX72" i="7"/>
  <c r="AV72" i="7"/>
  <c r="AT72" i="7"/>
  <c r="AR72" i="7"/>
  <c r="AP72" i="7"/>
  <c r="AN72" i="7"/>
  <c r="AL72" i="7"/>
  <c r="AJ72" i="7"/>
  <c r="AH72" i="7"/>
  <c r="AF72" i="7"/>
  <c r="AD72" i="7"/>
  <c r="AB72" i="7"/>
  <c r="Z72" i="7"/>
  <c r="X72" i="7"/>
  <c r="V72" i="7"/>
  <c r="T72" i="7"/>
  <c r="R72" i="7"/>
  <c r="P72" i="7"/>
  <c r="J72" i="7"/>
  <c r="M72" i="7" s="1"/>
  <c r="H72" i="7"/>
  <c r="G72" i="7"/>
  <c r="F72" i="7"/>
  <c r="BJ70" i="7"/>
  <c r="BH70" i="7"/>
  <c r="BF70" i="7"/>
  <c r="BD70" i="7"/>
  <c r="BB70" i="7"/>
  <c r="AZ70" i="7"/>
  <c r="AX70" i="7"/>
  <c r="AV70" i="7"/>
  <c r="AT70" i="7"/>
  <c r="AR70" i="7"/>
  <c r="AP70" i="7"/>
  <c r="AN70" i="7"/>
  <c r="AL70" i="7"/>
  <c r="AJ70" i="7"/>
  <c r="AH70" i="7"/>
  <c r="AF70" i="7"/>
  <c r="AD70" i="7"/>
  <c r="AB70" i="7"/>
  <c r="Z70" i="7"/>
  <c r="X70" i="7"/>
  <c r="V70" i="7"/>
  <c r="T70" i="7"/>
  <c r="R70" i="7"/>
  <c r="P70" i="7"/>
  <c r="M70" i="7"/>
  <c r="J70" i="7"/>
  <c r="L70" i="7" s="1"/>
  <c r="H70" i="7"/>
  <c r="G70" i="7"/>
  <c r="F70" i="7"/>
  <c r="BJ69" i="7"/>
  <c r="BH69" i="7"/>
  <c r="BF69" i="7"/>
  <c r="BD69" i="7"/>
  <c r="BB69" i="7"/>
  <c r="AZ69" i="7"/>
  <c r="AX69" i="7"/>
  <c r="AV69" i="7"/>
  <c r="AT69" i="7"/>
  <c r="AR69" i="7"/>
  <c r="AP69" i="7"/>
  <c r="AN69" i="7"/>
  <c r="AL69" i="7"/>
  <c r="AJ69" i="7"/>
  <c r="AH69" i="7"/>
  <c r="AF69" i="7"/>
  <c r="AD69" i="7"/>
  <c r="AB69" i="7"/>
  <c r="Z69" i="7"/>
  <c r="X69" i="7"/>
  <c r="V69" i="7"/>
  <c r="T69" i="7"/>
  <c r="R69" i="7"/>
  <c r="P69" i="7"/>
  <c r="L69" i="7"/>
  <c r="J69" i="7"/>
  <c r="M69" i="7" s="1"/>
  <c r="H69" i="7"/>
  <c r="G69" i="7"/>
  <c r="F69" i="7"/>
  <c r="BJ68" i="7"/>
  <c r="BH68" i="7"/>
  <c r="BF68" i="7"/>
  <c r="BD68" i="7"/>
  <c r="BB68" i="7"/>
  <c r="AZ68" i="7"/>
  <c r="AX68" i="7"/>
  <c r="AV68" i="7"/>
  <c r="AT68" i="7"/>
  <c r="AR68" i="7"/>
  <c r="AP68" i="7"/>
  <c r="AN68" i="7"/>
  <c r="AL68" i="7"/>
  <c r="AJ68" i="7"/>
  <c r="AH68" i="7"/>
  <c r="AF68" i="7"/>
  <c r="AD68" i="7"/>
  <c r="AB68" i="7"/>
  <c r="Z68" i="7"/>
  <c r="X68" i="7"/>
  <c r="V68" i="7"/>
  <c r="T68" i="7"/>
  <c r="R68" i="7"/>
  <c r="P68" i="7"/>
  <c r="K68" i="7"/>
  <c r="J68" i="7"/>
  <c r="M68" i="7" s="1"/>
  <c r="H68" i="7"/>
  <c r="G68" i="7"/>
  <c r="F68" i="7"/>
  <c r="BJ66" i="7"/>
  <c r="BH66" i="7"/>
  <c r="BF66" i="7"/>
  <c r="BD66" i="7"/>
  <c r="BB66" i="7"/>
  <c r="AZ66" i="7"/>
  <c r="AX66" i="7"/>
  <c r="AV66" i="7"/>
  <c r="AT66" i="7"/>
  <c r="AR66" i="7"/>
  <c r="AP66" i="7"/>
  <c r="AN66" i="7"/>
  <c r="AL66" i="7"/>
  <c r="AJ66" i="7"/>
  <c r="AH66" i="7"/>
  <c r="AF66" i="7"/>
  <c r="AD66" i="7"/>
  <c r="AB66" i="7"/>
  <c r="Z66" i="7"/>
  <c r="X66" i="7"/>
  <c r="V66" i="7"/>
  <c r="T66" i="7"/>
  <c r="R66" i="7"/>
  <c r="P66" i="7"/>
  <c r="J66" i="7"/>
  <c r="M66" i="7" s="1"/>
  <c r="H66" i="7"/>
  <c r="G66" i="7"/>
  <c r="F66" i="7"/>
  <c r="BJ65" i="7"/>
  <c r="BH65" i="7"/>
  <c r="BF65" i="7"/>
  <c r="BD65" i="7"/>
  <c r="BB65" i="7"/>
  <c r="AZ65" i="7"/>
  <c r="AX65" i="7"/>
  <c r="AV65" i="7"/>
  <c r="AT65" i="7"/>
  <c r="AR65" i="7"/>
  <c r="AP65" i="7"/>
  <c r="AN65" i="7"/>
  <c r="AL65" i="7"/>
  <c r="AJ65" i="7"/>
  <c r="AH65" i="7"/>
  <c r="AF65" i="7"/>
  <c r="AD65" i="7"/>
  <c r="AB65" i="7"/>
  <c r="Z65" i="7"/>
  <c r="X65" i="7"/>
  <c r="V65" i="7"/>
  <c r="T65" i="7"/>
  <c r="R65" i="7"/>
  <c r="P65" i="7"/>
  <c r="J65" i="7"/>
  <c r="L65" i="7" s="1"/>
  <c r="H65" i="7"/>
  <c r="M65" i="7" s="1"/>
  <c r="G65" i="7"/>
  <c r="F65" i="7"/>
  <c r="BJ64" i="7"/>
  <c r="BH64" i="7"/>
  <c r="BF64" i="7"/>
  <c r="BD64" i="7"/>
  <c r="BB64" i="7"/>
  <c r="AZ64" i="7"/>
  <c r="AX64" i="7"/>
  <c r="AV64" i="7"/>
  <c r="AT64" i="7"/>
  <c r="AR64" i="7"/>
  <c r="AP64" i="7"/>
  <c r="AN64" i="7"/>
  <c r="AL64" i="7"/>
  <c r="AJ64" i="7"/>
  <c r="AH64" i="7"/>
  <c r="AF64" i="7"/>
  <c r="AD64" i="7"/>
  <c r="AB64" i="7"/>
  <c r="Z64" i="7"/>
  <c r="X64" i="7"/>
  <c r="V64" i="7"/>
  <c r="T64" i="7"/>
  <c r="R64" i="7"/>
  <c r="P64" i="7"/>
  <c r="M64" i="7"/>
  <c r="J64" i="7"/>
  <c r="K64" i="7" s="1"/>
  <c r="H64" i="7"/>
  <c r="G64" i="7"/>
  <c r="L64" i="7" s="1"/>
  <c r="F64" i="7"/>
  <c r="BJ63" i="7"/>
  <c r="BH63" i="7"/>
  <c r="BF63" i="7"/>
  <c r="BD63" i="7"/>
  <c r="BB63" i="7"/>
  <c r="AZ63" i="7"/>
  <c r="AX63" i="7"/>
  <c r="AV63" i="7"/>
  <c r="AT63" i="7"/>
  <c r="AR63" i="7"/>
  <c r="AP63" i="7"/>
  <c r="AN63" i="7"/>
  <c r="AL63" i="7"/>
  <c r="AJ63" i="7"/>
  <c r="AH63" i="7"/>
  <c r="AF63" i="7"/>
  <c r="AD63" i="7"/>
  <c r="AB63" i="7"/>
  <c r="Z63" i="7"/>
  <c r="X63" i="7"/>
  <c r="V63" i="7"/>
  <c r="T63" i="7"/>
  <c r="R63" i="7"/>
  <c r="P63" i="7"/>
  <c r="L63" i="7"/>
  <c r="K63" i="7"/>
  <c r="J63" i="7"/>
  <c r="M63" i="7" s="1"/>
  <c r="H63" i="7"/>
  <c r="G63" i="7"/>
  <c r="F63" i="7"/>
  <c r="BJ62" i="7"/>
  <c r="BH62" i="7"/>
  <c r="BF62" i="7"/>
  <c r="BD62" i="7"/>
  <c r="BB62" i="7"/>
  <c r="AZ62" i="7"/>
  <c r="AX62" i="7"/>
  <c r="AV62" i="7"/>
  <c r="AT62" i="7"/>
  <c r="AR62" i="7"/>
  <c r="AP62" i="7"/>
  <c r="AN62" i="7"/>
  <c r="AL62" i="7"/>
  <c r="AJ62" i="7"/>
  <c r="AH62" i="7"/>
  <c r="AF62" i="7"/>
  <c r="AD62" i="7"/>
  <c r="AB62" i="7"/>
  <c r="Z62" i="7"/>
  <c r="X62" i="7"/>
  <c r="V62" i="7"/>
  <c r="T62" i="7"/>
  <c r="R62" i="7"/>
  <c r="P62" i="7"/>
  <c r="J62" i="7"/>
  <c r="M62" i="7" s="1"/>
  <c r="H62" i="7"/>
  <c r="G62" i="7"/>
  <c r="F62" i="7"/>
  <c r="BJ61" i="7"/>
  <c r="BH61" i="7"/>
  <c r="BF61" i="7"/>
  <c r="BD61" i="7"/>
  <c r="BB61" i="7"/>
  <c r="AZ61" i="7"/>
  <c r="AX61" i="7"/>
  <c r="AV61" i="7"/>
  <c r="AT61" i="7"/>
  <c r="AR61" i="7"/>
  <c r="AP61" i="7"/>
  <c r="AN61" i="7"/>
  <c r="AL61" i="7"/>
  <c r="AJ61" i="7"/>
  <c r="AH61" i="7"/>
  <c r="AF61" i="7"/>
  <c r="AD61" i="7"/>
  <c r="AB61" i="7"/>
  <c r="Z61" i="7"/>
  <c r="X61" i="7"/>
  <c r="V61" i="7"/>
  <c r="T61" i="7"/>
  <c r="R61" i="7"/>
  <c r="P61" i="7"/>
  <c r="M61" i="7"/>
  <c r="J61" i="7"/>
  <c r="L61" i="7" s="1"/>
  <c r="H61" i="7"/>
  <c r="G61" i="7"/>
  <c r="F61" i="7"/>
  <c r="BJ59" i="7"/>
  <c r="BH59" i="7"/>
  <c r="BF59" i="7"/>
  <c r="BD59" i="7"/>
  <c r="BB59" i="7"/>
  <c r="AZ59" i="7"/>
  <c r="AX59" i="7"/>
  <c r="AV59" i="7"/>
  <c r="AT59" i="7"/>
  <c r="AR59" i="7"/>
  <c r="AP59" i="7"/>
  <c r="AN59" i="7"/>
  <c r="AL59" i="7"/>
  <c r="AJ59" i="7"/>
  <c r="AH59" i="7"/>
  <c r="AF59" i="7"/>
  <c r="AD59" i="7"/>
  <c r="AB59" i="7"/>
  <c r="Z59" i="7"/>
  <c r="X59" i="7"/>
  <c r="V59" i="7"/>
  <c r="T59" i="7"/>
  <c r="R59" i="7"/>
  <c r="P59" i="7"/>
  <c r="L59" i="7"/>
  <c r="J59" i="7"/>
  <c r="M59" i="7" s="1"/>
  <c r="H59" i="7"/>
  <c r="G59" i="7"/>
  <c r="F59" i="7"/>
  <c r="BJ58" i="7"/>
  <c r="BH58" i="7"/>
  <c r="BF58" i="7"/>
  <c r="BD58" i="7"/>
  <c r="BB58" i="7"/>
  <c r="AZ58" i="7"/>
  <c r="AX58" i="7"/>
  <c r="AV58" i="7"/>
  <c r="AT58" i="7"/>
  <c r="AR58" i="7"/>
  <c r="AP58" i="7"/>
  <c r="AN58" i="7"/>
  <c r="AL58" i="7"/>
  <c r="AJ58" i="7"/>
  <c r="AH58" i="7"/>
  <c r="AF58" i="7"/>
  <c r="AD58" i="7"/>
  <c r="AB58" i="7"/>
  <c r="Z58" i="7"/>
  <c r="X58" i="7"/>
  <c r="V58" i="7"/>
  <c r="T58" i="7"/>
  <c r="R58" i="7"/>
  <c r="P58" i="7"/>
  <c r="K58" i="7"/>
  <c r="J58" i="7"/>
  <c r="M58" i="7" s="1"/>
  <c r="H58" i="7"/>
  <c r="G58" i="7"/>
  <c r="F58" i="7"/>
  <c r="BJ57" i="7"/>
  <c r="BH57" i="7"/>
  <c r="BF57" i="7"/>
  <c r="BD57" i="7"/>
  <c r="BB57" i="7"/>
  <c r="AZ57" i="7"/>
  <c r="AX57" i="7"/>
  <c r="AV57" i="7"/>
  <c r="AT57" i="7"/>
  <c r="AR57" i="7"/>
  <c r="AP57" i="7"/>
  <c r="AN57" i="7"/>
  <c r="AL57" i="7"/>
  <c r="AJ57" i="7"/>
  <c r="AH57" i="7"/>
  <c r="AF57" i="7"/>
  <c r="AD57" i="7"/>
  <c r="AB57" i="7"/>
  <c r="Z57" i="7"/>
  <c r="X57" i="7"/>
  <c r="V57" i="7"/>
  <c r="T57" i="7"/>
  <c r="R57" i="7"/>
  <c r="P57" i="7"/>
  <c r="J57" i="7"/>
  <c r="M57" i="7" s="1"/>
  <c r="H57" i="7"/>
  <c r="G57" i="7"/>
  <c r="F57" i="7"/>
  <c r="BJ56" i="7"/>
  <c r="BH56" i="7"/>
  <c r="BF56" i="7"/>
  <c r="BD56" i="7"/>
  <c r="BB56" i="7"/>
  <c r="AZ56" i="7"/>
  <c r="AX56" i="7"/>
  <c r="AV56" i="7"/>
  <c r="AT56" i="7"/>
  <c r="AR56" i="7"/>
  <c r="AP56" i="7"/>
  <c r="AN56" i="7"/>
  <c r="AL56" i="7"/>
  <c r="AJ56" i="7"/>
  <c r="AH56" i="7"/>
  <c r="AF56" i="7"/>
  <c r="AD56" i="7"/>
  <c r="AB56" i="7"/>
  <c r="Z56" i="7"/>
  <c r="X56" i="7"/>
  <c r="V56" i="7"/>
  <c r="T56" i="7"/>
  <c r="R56" i="7"/>
  <c r="P56" i="7"/>
  <c r="K56" i="7"/>
  <c r="J56" i="7"/>
  <c r="H56" i="7"/>
  <c r="M56" i="7" s="1"/>
  <c r="G56" i="7"/>
  <c r="L56" i="7" s="1"/>
  <c r="F56" i="7"/>
  <c r="BJ55" i="7"/>
  <c r="BH55" i="7"/>
  <c r="BF55" i="7"/>
  <c r="BD55" i="7"/>
  <c r="BB55" i="7"/>
  <c r="AZ55" i="7"/>
  <c r="AX55" i="7"/>
  <c r="AV55" i="7"/>
  <c r="AT55" i="7"/>
  <c r="AR55" i="7"/>
  <c r="AP55" i="7"/>
  <c r="AN55" i="7"/>
  <c r="AL55" i="7"/>
  <c r="AJ55" i="7"/>
  <c r="AH55" i="7"/>
  <c r="AF55" i="7"/>
  <c r="AD55" i="7"/>
  <c r="AB55" i="7"/>
  <c r="Z55" i="7"/>
  <c r="X55" i="7"/>
  <c r="V55" i="7"/>
  <c r="T55" i="7"/>
  <c r="R55" i="7"/>
  <c r="P55" i="7"/>
  <c r="M55" i="7"/>
  <c r="J55" i="7"/>
  <c r="K55" i="7" s="1"/>
  <c r="H55" i="7"/>
  <c r="G55" i="7"/>
  <c r="L55" i="7" s="1"/>
  <c r="F55" i="7"/>
  <c r="BJ54" i="7"/>
  <c r="BH54" i="7"/>
  <c r="BF54" i="7"/>
  <c r="BD54" i="7"/>
  <c r="BB54" i="7"/>
  <c r="AZ54" i="7"/>
  <c r="AX54" i="7"/>
  <c r="AV54" i="7"/>
  <c r="AT54" i="7"/>
  <c r="AR54" i="7"/>
  <c r="AP54" i="7"/>
  <c r="AN54" i="7"/>
  <c r="AL54" i="7"/>
  <c r="AJ54" i="7"/>
  <c r="AH54" i="7"/>
  <c r="AF54" i="7"/>
  <c r="AD54" i="7"/>
  <c r="AB54" i="7"/>
  <c r="Z54" i="7"/>
  <c r="X54" i="7"/>
  <c r="V54" i="7"/>
  <c r="T54" i="7"/>
  <c r="R54" i="7"/>
  <c r="P54" i="7"/>
  <c r="L54" i="7"/>
  <c r="K54" i="7"/>
  <c r="J54" i="7"/>
  <c r="M54" i="7" s="1"/>
  <c r="H54" i="7"/>
  <c r="G54" i="7"/>
  <c r="F54" i="7"/>
  <c r="BJ52" i="7"/>
  <c r="BH52" i="7"/>
  <c r="BF52" i="7"/>
  <c r="BD52" i="7"/>
  <c r="BB52" i="7"/>
  <c r="AZ52" i="7"/>
  <c r="AX52" i="7"/>
  <c r="AV52" i="7"/>
  <c r="AT52" i="7"/>
  <c r="AR52" i="7"/>
  <c r="AP52" i="7"/>
  <c r="AN52" i="7"/>
  <c r="AL52" i="7"/>
  <c r="AJ52" i="7"/>
  <c r="AH52" i="7"/>
  <c r="AF52" i="7"/>
  <c r="AD52" i="7"/>
  <c r="AB52" i="7"/>
  <c r="Z52" i="7"/>
  <c r="X52" i="7"/>
  <c r="V52" i="7"/>
  <c r="T52" i="7"/>
  <c r="R52" i="7"/>
  <c r="P52" i="7"/>
  <c r="J52" i="7"/>
  <c r="M52" i="7" s="1"/>
  <c r="H52" i="7"/>
  <c r="G52" i="7"/>
  <c r="F52" i="7"/>
  <c r="BJ51" i="7"/>
  <c r="BH51" i="7"/>
  <c r="BF51" i="7"/>
  <c r="BD51" i="7"/>
  <c r="BB51" i="7"/>
  <c r="AZ51" i="7"/>
  <c r="AX51" i="7"/>
  <c r="AV51" i="7"/>
  <c r="AT51" i="7"/>
  <c r="AR51" i="7"/>
  <c r="AP51" i="7"/>
  <c r="AN51" i="7"/>
  <c r="AL51" i="7"/>
  <c r="AJ51" i="7"/>
  <c r="AH51" i="7"/>
  <c r="AF51" i="7"/>
  <c r="AD51" i="7"/>
  <c r="AB51" i="7"/>
  <c r="Z51" i="7"/>
  <c r="X51" i="7"/>
  <c r="V51" i="7"/>
  <c r="T51" i="7"/>
  <c r="R51" i="7"/>
  <c r="P51" i="7"/>
  <c r="M51" i="7"/>
  <c r="J51" i="7"/>
  <c r="L51" i="7" s="1"/>
  <c r="H51" i="7"/>
  <c r="G51" i="7"/>
  <c r="F51" i="7"/>
  <c r="BJ50" i="7"/>
  <c r="BH50" i="7"/>
  <c r="BF50" i="7"/>
  <c r="BD50" i="7"/>
  <c r="BB50" i="7"/>
  <c r="AZ50" i="7"/>
  <c r="AX50" i="7"/>
  <c r="AV50" i="7"/>
  <c r="AT50" i="7"/>
  <c r="AR50" i="7"/>
  <c r="AP50" i="7"/>
  <c r="AN50" i="7"/>
  <c r="AL50" i="7"/>
  <c r="AJ50" i="7"/>
  <c r="AH50" i="7"/>
  <c r="AF50" i="7"/>
  <c r="AD50" i="7"/>
  <c r="AB50" i="7"/>
  <c r="Z50" i="7"/>
  <c r="X50" i="7"/>
  <c r="V50" i="7"/>
  <c r="T50" i="7"/>
  <c r="R50" i="7"/>
  <c r="P50" i="7"/>
  <c r="L50" i="7"/>
  <c r="J50" i="7"/>
  <c r="M50" i="7" s="1"/>
  <c r="H50" i="7"/>
  <c r="G50" i="7"/>
  <c r="F50" i="7"/>
  <c r="BJ48" i="7"/>
  <c r="BH48" i="7"/>
  <c r="BF48" i="7"/>
  <c r="BD48" i="7"/>
  <c r="BB48" i="7"/>
  <c r="AZ48" i="7"/>
  <c r="AX48" i="7"/>
  <c r="AV48" i="7"/>
  <c r="AT48" i="7"/>
  <c r="AR48" i="7"/>
  <c r="AP48" i="7"/>
  <c r="AN48" i="7"/>
  <c r="AL48" i="7"/>
  <c r="AJ48" i="7"/>
  <c r="AH48" i="7"/>
  <c r="AF48" i="7"/>
  <c r="AD48" i="7"/>
  <c r="AB48" i="7"/>
  <c r="Z48" i="7"/>
  <c r="X48" i="7"/>
  <c r="V48" i="7"/>
  <c r="T48" i="7"/>
  <c r="R48" i="7"/>
  <c r="P48" i="7"/>
  <c r="K48" i="7"/>
  <c r="J48" i="7"/>
  <c r="M48" i="7" s="1"/>
  <c r="H48" i="7"/>
  <c r="G48" i="7"/>
  <c r="F48" i="7"/>
  <c r="BJ47" i="7"/>
  <c r="BH47" i="7"/>
  <c r="BF47" i="7"/>
  <c r="BD47" i="7"/>
  <c r="BB47" i="7"/>
  <c r="AZ47" i="7"/>
  <c r="AX47" i="7"/>
  <c r="AV47" i="7"/>
  <c r="AT47" i="7"/>
  <c r="AR47" i="7"/>
  <c r="AP47" i="7"/>
  <c r="AN47" i="7"/>
  <c r="AL47" i="7"/>
  <c r="AJ47" i="7"/>
  <c r="AH47" i="7"/>
  <c r="AF47" i="7"/>
  <c r="AD47" i="7"/>
  <c r="AB47" i="7"/>
  <c r="Z47" i="7"/>
  <c r="X47" i="7"/>
  <c r="V47" i="7"/>
  <c r="T47" i="7"/>
  <c r="R47" i="7"/>
  <c r="P47" i="7"/>
  <c r="J47" i="7"/>
  <c r="M47" i="7" s="1"/>
  <c r="H47" i="7"/>
  <c r="G47" i="7"/>
  <c r="F47" i="7"/>
  <c r="BJ46" i="7"/>
  <c r="BH46" i="7"/>
  <c r="BF46" i="7"/>
  <c r="BD46" i="7"/>
  <c r="BB46" i="7"/>
  <c r="AZ46" i="7"/>
  <c r="AX46" i="7"/>
  <c r="AV46" i="7"/>
  <c r="AT46" i="7"/>
  <c r="AR46" i="7"/>
  <c r="AP46" i="7"/>
  <c r="AN46" i="7"/>
  <c r="AL46" i="7"/>
  <c r="AJ46" i="7"/>
  <c r="AH46" i="7"/>
  <c r="AF46" i="7"/>
  <c r="AD46" i="7"/>
  <c r="AB46" i="7"/>
  <c r="Z46" i="7"/>
  <c r="X46" i="7"/>
  <c r="V46" i="7"/>
  <c r="T46" i="7"/>
  <c r="R46" i="7"/>
  <c r="P46" i="7"/>
  <c r="K46" i="7"/>
  <c r="J46" i="7"/>
  <c r="H46" i="7"/>
  <c r="M46" i="7" s="1"/>
  <c r="G46" i="7"/>
  <c r="L46" i="7" s="1"/>
  <c r="F46" i="7"/>
  <c r="BJ44" i="7"/>
  <c r="BH44" i="7"/>
  <c r="BF44" i="7"/>
  <c r="BD44" i="7"/>
  <c r="BB44" i="7"/>
  <c r="AZ44" i="7"/>
  <c r="AX44" i="7"/>
  <c r="AV44" i="7"/>
  <c r="AT44" i="7"/>
  <c r="AR44" i="7"/>
  <c r="AP44" i="7"/>
  <c r="AN44" i="7"/>
  <c r="AL44" i="7"/>
  <c r="AJ44" i="7"/>
  <c r="AH44" i="7"/>
  <c r="AF44" i="7"/>
  <c r="AD44" i="7"/>
  <c r="AB44" i="7"/>
  <c r="Z44" i="7"/>
  <c r="X44" i="7"/>
  <c r="V44" i="7"/>
  <c r="T44" i="7"/>
  <c r="R44" i="7"/>
  <c r="P44" i="7"/>
  <c r="M44" i="7"/>
  <c r="J44" i="7"/>
  <c r="K44" i="7" s="1"/>
  <c r="H44" i="7"/>
  <c r="G44" i="7"/>
  <c r="L44" i="7" s="1"/>
  <c r="F44" i="7"/>
  <c r="BJ43" i="7"/>
  <c r="BH43" i="7"/>
  <c r="BF43" i="7"/>
  <c r="BD43" i="7"/>
  <c r="BB43" i="7"/>
  <c r="AZ43" i="7"/>
  <c r="AX43" i="7"/>
  <c r="AV43" i="7"/>
  <c r="AT43" i="7"/>
  <c r="AR43" i="7"/>
  <c r="AP43" i="7"/>
  <c r="AN43" i="7"/>
  <c r="AL43" i="7"/>
  <c r="AJ43" i="7"/>
  <c r="AH43" i="7"/>
  <c r="AF43" i="7"/>
  <c r="AD43" i="7"/>
  <c r="AB43" i="7"/>
  <c r="Z43" i="7"/>
  <c r="X43" i="7"/>
  <c r="V43" i="7"/>
  <c r="T43" i="7"/>
  <c r="R43" i="7"/>
  <c r="P43" i="7"/>
  <c r="M43" i="7"/>
  <c r="L43" i="7"/>
  <c r="K43" i="7"/>
  <c r="J43" i="7"/>
  <c r="H43" i="7"/>
  <c r="G43" i="7"/>
  <c r="F43" i="7"/>
  <c r="BJ42" i="7"/>
  <c r="BH42" i="7"/>
  <c r="BF42" i="7"/>
  <c r="BD42" i="7"/>
  <c r="BB42" i="7"/>
  <c r="AZ42" i="7"/>
  <c r="AX42" i="7"/>
  <c r="AV42" i="7"/>
  <c r="AT42" i="7"/>
  <c r="AR42" i="7"/>
  <c r="AP42" i="7"/>
  <c r="AN42" i="7"/>
  <c r="AL42" i="7"/>
  <c r="AJ42" i="7"/>
  <c r="AH42" i="7"/>
  <c r="AF42" i="7"/>
  <c r="AD42" i="7"/>
  <c r="AB42" i="7"/>
  <c r="Z42" i="7"/>
  <c r="X42" i="7"/>
  <c r="V42" i="7"/>
  <c r="T42" i="7"/>
  <c r="R42" i="7"/>
  <c r="P42" i="7"/>
  <c r="J42" i="7"/>
  <c r="M42" i="7" s="1"/>
  <c r="H42" i="7"/>
  <c r="G42" i="7"/>
  <c r="F42" i="7"/>
  <c r="BJ41" i="7"/>
  <c r="BH41" i="7"/>
  <c r="BF41" i="7"/>
  <c r="BD41" i="7"/>
  <c r="BB41" i="7"/>
  <c r="AZ41" i="7"/>
  <c r="AX41" i="7"/>
  <c r="AV41" i="7"/>
  <c r="AT41" i="7"/>
  <c r="AR41" i="7"/>
  <c r="AP41" i="7"/>
  <c r="AN41" i="7"/>
  <c r="AL41" i="7"/>
  <c r="AJ41" i="7"/>
  <c r="AH41" i="7"/>
  <c r="AF41" i="7"/>
  <c r="AD41" i="7"/>
  <c r="AB41" i="7"/>
  <c r="Z41" i="7"/>
  <c r="X41" i="7"/>
  <c r="V41" i="7"/>
  <c r="T41" i="7"/>
  <c r="R41" i="7"/>
  <c r="P41" i="7"/>
  <c r="M41" i="7"/>
  <c r="J41" i="7"/>
  <c r="L41" i="7" s="1"/>
  <c r="H41" i="7"/>
  <c r="G41" i="7"/>
  <c r="F41" i="7"/>
  <c r="BJ40" i="7"/>
  <c r="BH40" i="7"/>
  <c r="BF40" i="7"/>
  <c r="BD40" i="7"/>
  <c r="BB40" i="7"/>
  <c r="AZ40" i="7"/>
  <c r="AX40" i="7"/>
  <c r="AV40" i="7"/>
  <c r="AT40" i="7"/>
  <c r="AR40" i="7"/>
  <c r="AP40" i="7"/>
  <c r="AN40" i="7"/>
  <c r="AL40" i="7"/>
  <c r="AJ40" i="7"/>
  <c r="AH40" i="7"/>
  <c r="AF40" i="7"/>
  <c r="AD40" i="7"/>
  <c r="AB40" i="7"/>
  <c r="Z40" i="7"/>
  <c r="X40" i="7"/>
  <c r="V40" i="7"/>
  <c r="T40" i="7"/>
  <c r="R40" i="7"/>
  <c r="P40" i="7"/>
  <c r="L40" i="7"/>
  <c r="J40" i="7"/>
  <c r="M40" i="7" s="1"/>
  <c r="H40" i="7"/>
  <c r="G40" i="7"/>
  <c r="F40" i="7"/>
  <c r="BJ38" i="7"/>
  <c r="BH38" i="7"/>
  <c r="BF38" i="7"/>
  <c r="BD38" i="7"/>
  <c r="BB38" i="7"/>
  <c r="AZ38" i="7"/>
  <c r="AX38" i="7"/>
  <c r="AV38" i="7"/>
  <c r="AT38" i="7"/>
  <c r="AR38" i="7"/>
  <c r="AP38" i="7"/>
  <c r="AN38" i="7"/>
  <c r="AL38" i="7"/>
  <c r="AJ38" i="7"/>
  <c r="AH38" i="7"/>
  <c r="AF38" i="7"/>
  <c r="AD38" i="7"/>
  <c r="AB38" i="7"/>
  <c r="Z38" i="7"/>
  <c r="X38" i="7"/>
  <c r="V38" i="7"/>
  <c r="T38" i="7"/>
  <c r="R38" i="7"/>
  <c r="P38" i="7"/>
  <c r="K38" i="7"/>
  <c r="J38" i="7"/>
  <c r="M38" i="7" s="1"/>
  <c r="H38" i="7"/>
  <c r="G38" i="7"/>
  <c r="F38" i="7"/>
  <c r="BJ37" i="7"/>
  <c r="BH37" i="7"/>
  <c r="BF37" i="7"/>
  <c r="BD37" i="7"/>
  <c r="BB37" i="7"/>
  <c r="AZ37" i="7"/>
  <c r="AX37" i="7"/>
  <c r="AV37" i="7"/>
  <c r="AT37" i="7"/>
  <c r="AR37" i="7"/>
  <c r="AP37" i="7"/>
  <c r="AN37" i="7"/>
  <c r="AL37" i="7"/>
  <c r="AJ37" i="7"/>
  <c r="AH37" i="7"/>
  <c r="AF37" i="7"/>
  <c r="AD37" i="7"/>
  <c r="AB37" i="7"/>
  <c r="Z37" i="7"/>
  <c r="X37" i="7"/>
  <c r="V37" i="7"/>
  <c r="T37" i="7"/>
  <c r="R37" i="7"/>
  <c r="P37" i="7"/>
  <c r="J37" i="7"/>
  <c r="M37" i="7" s="1"/>
  <c r="H37" i="7"/>
  <c r="G37" i="7"/>
  <c r="F37" i="7"/>
  <c r="BJ36" i="7"/>
  <c r="BH36" i="7"/>
  <c r="BF36" i="7"/>
  <c r="BD36" i="7"/>
  <c r="BB36" i="7"/>
  <c r="AZ36" i="7"/>
  <c r="AX36" i="7"/>
  <c r="AV36" i="7"/>
  <c r="AT36" i="7"/>
  <c r="AR36" i="7"/>
  <c r="AP36" i="7"/>
  <c r="AN36" i="7"/>
  <c r="AL36" i="7"/>
  <c r="AJ36" i="7"/>
  <c r="AH36" i="7"/>
  <c r="AF36" i="7"/>
  <c r="AD36" i="7"/>
  <c r="AB36" i="7"/>
  <c r="Z36" i="7"/>
  <c r="X36" i="7"/>
  <c r="V36" i="7"/>
  <c r="T36" i="7"/>
  <c r="R36" i="7"/>
  <c r="P36" i="7"/>
  <c r="K36" i="7"/>
  <c r="J36" i="7"/>
  <c r="H36" i="7"/>
  <c r="M36" i="7" s="1"/>
  <c r="G36" i="7"/>
  <c r="L36" i="7" s="1"/>
  <c r="F36" i="7"/>
  <c r="BJ35" i="7"/>
  <c r="BH35" i="7"/>
  <c r="BF35" i="7"/>
  <c r="BD35" i="7"/>
  <c r="BB35" i="7"/>
  <c r="AZ35" i="7"/>
  <c r="AX35" i="7"/>
  <c r="AV35" i="7"/>
  <c r="AT35" i="7"/>
  <c r="AR35" i="7"/>
  <c r="AP35" i="7"/>
  <c r="AN35" i="7"/>
  <c r="AL35" i="7"/>
  <c r="AJ35" i="7"/>
  <c r="AH35" i="7"/>
  <c r="AF35" i="7"/>
  <c r="AD35" i="7"/>
  <c r="AB35" i="7"/>
  <c r="Z35" i="7"/>
  <c r="X35" i="7"/>
  <c r="V35" i="7"/>
  <c r="T35" i="7"/>
  <c r="R35" i="7"/>
  <c r="P35" i="7"/>
  <c r="M35" i="7"/>
  <c r="J35" i="7"/>
  <c r="K35" i="7" s="1"/>
  <c r="H35" i="7"/>
  <c r="G35" i="7"/>
  <c r="L35" i="7" s="1"/>
  <c r="F35" i="7"/>
  <c r="BJ34" i="7"/>
  <c r="BH34" i="7"/>
  <c r="BF34" i="7"/>
  <c r="BD34" i="7"/>
  <c r="BB34" i="7"/>
  <c r="AZ34" i="7"/>
  <c r="AX34" i="7"/>
  <c r="AV34" i="7"/>
  <c r="AT34" i="7"/>
  <c r="AR34" i="7"/>
  <c r="AP34" i="7"/>
  <c r="AN34" i="7"/>
  <c r="AL34" i="7"/>
  <c r="AJ34" i="7"/>
  <c r="AH34" i="7"/>
  <c r="AF34" i="7"/>
  <c r="AD34" i="7"/>
  <c r="AB34" i="7"/>
  <c r="Z34" i="7"/>
  <c r="X34" i="7"/>
  <c r="V34" i="7"/>
  <c r="T34" i="7"/>
  <c r="R34" i="7"/>
  <c r="P34" i="7"/>
  <c r="M34" i="7"/>
  <c r="L34" i="7"/>
  <c r="K34" i="7"/>
  <c r="J34" i="7"/>
  <c r="H34" i="7"/>
  <c r="G34" i="7"/>
  <c r="F34" i="7"/>
  <c r="BJ33" i="7"/>
  <c r="BH33" i="7"/>
  <c r="BF33" i="7"/>
  <c r="BD33" i="7"/>
  <c r="BB33" i="7"/>
  <c r="AZ33" i="7"/>
  <c r="AX33" i="7"/>
  <c r="AV33" i="7"/>
  <c r="AT33" i="7"/>
  <c r="AR33" i="7"/>
  <c r="AP33" i="7"/>
  <c r="AN33" i="7"/>
  <c r="AL33" i="7"/>
  <c r="AJ33" i="7"/>
  <c r="AH33" i="7"/>
  <c r="AF33" i="7"/>
  <c r="AD33" i="7"/>
  <c r="AB33" i="7"/>
  <c r="Z33" i="7"/>
  <c r="X33" i="7"/>
  <c r="V33" i="7"/>
  <c r="T33" i="7"/>
  <c r="R33" i="7"/>
  <c r="P33" i="7"/>
  <c r="J33" i="7"/>
  <c r="M33" i="7" s="1"/>
  <c r="H33" i="7"/>
  <c r="G33" i="7"/>
  <c r="F33" i="7"/>
  <c r="BJ31" i="7"/>
  <c r="BH31" i="7"/>
  <c r="BF31" i="7"/>
  <c r="BD31" i="7"/>
  <c r="BB31" i="7"/>
  <c r="AZ31" i="7"/>
  <c r="AX31" i="7"/>
  <c r="AV31" i="7"/>
  <c r="AT31" i="7"/>
  <c r="AR31" i="7"/>
  <c r="AP31" i="7"/>
  <c r="AN31" i="7"/>
  <c r="AL31" i="7"/>
  <c r="AJ31" i="7"/>
  <c r="AH31" i="7"/>
  <c r="AF31" i="7"/>
  <c r="AD31" i="7"/>
  <c r="AB31" i="7"/>
  <c r="Z31" i="7"/>
  <c r="X31" i="7"/>
  <c r="V31" i="7"/>
  <c r="T31" i="7"/>
  <c r="R31" i="7"/>
  <c r="P31" i="7"/>
  <c r="M31" i="7"/>
  <c r="J31" i="7"/>
  <c r="L31" i="7" s="1"/>
  <c r="H31" i="7"/>
  <c r="G31" i="7"/>
  <c r="F31" i="7"/>
  <c r="BJ30" i="7"/>
  <c r="BH30" i="7"/>
  <c r="BF30" i="7"/>
  <c r="BD30" i="7"/>
  <c r="BB30" i="7"/>
  <c r="AZ30" i="7"/>
  <c r="AX30" i="7"/>
  <c r="AV30" i="7"/>
  <c r="AT30" i="7"/>
  <c r="AR30" i="7"/>
  <c r="AP30" i="7"/>
  <c r="AN30" i="7"/>
  <c r="AL30" i="7"/>
  <c r="AJ30" i="7"/>
  <c r="AH30" i="7"/>
  <c r="AF30" i="7"/>
  <c r="AD30" i="7"/>
  <c r="AB30" i="7"/>
  <c r="Z30" i="7"/>
  <c r="X30" i="7"/>
  <c r="V30" i="7"/>
  <c r="T30" i="7"/>
  <c r="R30" i="7"/>
  <c r="P30" i="7"/>
  <c r="L30" i="7"/>
  <c r="J30" i="7"/>
  <c r="M30" i="7" s="1"/>
  <c r="H30" i="7"/>
  <c r="G30" i="7"/>
  <c r="F30" i="7"/>
  <c r="BJ29" i="7"/>
  <c r="BH29" i="7"/>
  <c r="BF29" i="7"/>
  <c r="BD29" i="7"/>
  <c r="BB29" i="7"/>
  <c r="AZ29" i="7"/>
  <c r="AX29" i="7"/>
  <c r="AV29" i="7"/>
  <c r="AT29" i="7"/>
  <c r="AR29" i="7"/>
  <c r="AP29" i="7"/>
  <c r="AN29" i="7"/>
  <c r="AL29" i="7"/>
  <c r="AJ29" i="7"/>
  <c r="AH29" i="7"/>
  <c r="AF29" i="7"/>
  <c r="AD29" i="7"/>
  <c r="AB29" i="7"/>
  <c r="Z29" i="7"/>
  <c r="X29" i="7"/>
  <c r="V29" i="7"/>
  <c r="T29" i="7"/>
  <c r="R29" i="7"/>
  <c r="P29" i="7"/>
  <c r="K29" i="7"/>
  <c r="J29" i="7"/>
  <c r="M29" i="7" s="1"/>
  <c r="H29" i="7"/>
  <c r="G29" i="7"/>
  <c r="F29" i="7"/>
  <c r="BJ27" i="7"/>
  <c r="BH27" i="7"/>
  <c r="BF27" i="7"/>
  <c r="BD27" i="7"/>
  <c r="BB27" i="7"/>
  <c r="AZ27" i="7"/>
  <c r="AX27" i="7"/>
  <c r="AV27" i="7"/>
  <c r="AT27" i="7"/>
  <c r="AR27" i="7"/>
  <c r="AP27" i="7"/>
  <c r="AN27" i="7"/>
  <c r="AL27" i="7"/>
  <c r="AJ27" i="7"/>
  <c r="AH27" i="7"/>
  <c r="AF27" i="7"/>
  <c r="AD27" i="7"/>
  <c r="AB27" i="7"/>
  <c r="Z27" i="7"/>
  <c r="X27" i="7"/>
  <c r="V27" i="7"/>
  <c r="T27" i="7"/>
  <c r="R27" i="7"/>
  <c r="P27" i="7"/>
  <c r="J27" i="7"/>
  <c r="M27" i="7" s="1"/>
  <c r="H27" i="7"/>
  <c r="G27" i="7"/>
  <c r="F27" i="7"/>
  <c r="BJ26" i="7"/>
  <c r="BH26" i="7"/>
  <c r="BF26" i="7"/>
  <c r="BD26" i="7"/>
  <c r="BB26" i="7"/>
  <c r="AZ26" i="7"/>
  <c r="AX26" i="7"/>
  <c r="AV26" i="7"/>
  <c r="AT26" i="7"/>
  <c r="AR26" i="7"/>
  <c r="AP26" i="7"/>
  <c r="AN26" i="7"/>
  <c r="AL26" i="7"/>
  <c r="AJ26" i="7"/>
  <c r="AH26" i="7"/>
  <c r="AF26" i="7"/>
  <c r="AD26" i="7"/>
  <c r="AB26" i="7"/>
  <c r="Z26" i="7"/>
  <c r="X26" i="7"/>
  <c r="V26" i="7"/>
  <c r="T26" i="7"/>
  <c r="R26" i="7"/>
  <c r="P26" i="7"/>
  <c r="K26" i="7"/>
  <c r="J26" i="7"/>
  <c r="H26" i="7"/>
  <c r="M26" i="7" s="1"/>
  <c r="G26" i="7"/>
  <c r="L26" i="7" s="1"/>
  <c r="F26" i="7"/>
  <c r="BJ25" i="7"/>
  <c r="BH25" i="7"/>
  <c r="BF25" i="7"/>
  <c r="BD25" i="7"/>
  <c r="BB25" i="7"/>
  <c r="AZ25" i="7"/>
  <c r="AX25" i="7"/>
  <c r="AV25" i="7"/>
  <c r="AT25" i="7"/>
  <c r="AR25" i="7"/>
  <c r="AP25" i="7"/>
  <c r="AN25" i="7"/>
  <c r="AL25" i="7"/>
  <c r="AJ25" i="7"/>
  <c r="AH25" i="7"/>
  <c r="AF25" i="7"/>
  <c r="AD25" i="7"/>
  <c r="AB25" i="7"/>
  <c r="Z25" i="7"/>
  <c r="X25" i="7"/>
  <c r="V25" i="7"/>
  <c r="T25" i="7"/>
  <c r="R25" i="7"/>
  <c r="P25" i="7"/>
  <c r="M25" i="7"/>
  <c r="J25" i="7"/>
  <c r="K25" i="7" s="1"/>
  <c r="H25" i="7"/>
  <c r="G25" i="7"/>
  <c r="L25" i="7" s="1"/>
  <c r="F25" i="7"/>
  <c r="BJ23" i="7"/>
  <c r="BH23" i="7"/>
  <c r="BF23" i="7"/>
  <c r="BD23" i="7"/>
  <c r="BB23" i="7"/>
  <c r="AZ23" i="7"/>
  <c r="AX23" i="7"/>
  <c r="AV23" i="7"/>
  <c r="AT23" i="7"/>
  <c r="AR23" i="7"/>
  <c r="AP23" i="7"/>
  <c r="AN23" i="7"/>
  <c r="AL23" i="7"/>
  <c r="AJ23" i="7"/>
  <c r="AH23" i="7"/>
  <c r="AF23" i="7"/>
  <c r="AD23" i="7"/>
  <c r="AB23" i="7"/>
  <c r="Z23" i="7"/>
  <c r="X23" i="7"/>
  <c r="V23" i="7"/>
  <c r="T23" i="7"/>
  <c r="R23" i="7"/>
  <c r="P23" i="7"/>
  <c r="M23" i="7"/>
  <c r="L23" i="7"/>
  <c r="K23" i="7"/>
  <c r="J23" i="7"/>
  <c r="H23" i="7"/>
  <c r="G23" i="7"/>
  <c r="F23" i="7"/>
  <c r="BJ22" i="7"/>
  <c r="BH22" i="7"/>
  <c r="BF22" i="7"/>
  <c r="BD22" i="7"/>
  <c r="BB22" i="7"/>
  <c r="AZ22" i="7"/>
  <c r="AX22" i="7"/>
  <c r="AV22" i="7"/>
  <c r="AT22" i="7"/>
  <c r="AR22" i="7"/>
  <c r="AP22" i="7"/>
  <c r="AN22" i="7"/>
  <c r="AL22" i="7"/>
  <c r="AJ22" i="7"/>
  <c r="AH22" i="7"/>
  <c r="AF22" i="7"/>
  <c r="AD22" i="7"/>
  <c r="AB22" i="7"/>
  <c r="Z22" i="7"/>
  <c r="X22" i="7"/>
  <c r="V22" i="7"/>
  <c r="T22" i="7"/>
  <c r="R22" i="7"/>
  <c r="P22" i="7"/>
  <c r="J22" i="7"/>
  <c r="M22" i="7" s="1"/>
  <c r="H22" i="7"/>
  <c r="G22" i="7"/>
  <c r="F22" i="7"/>
  <c r="BJ21" i="7"/>
  <c r="BH21" i="7"/>
  <c r="BF21" i="7"/>
  <c r="BD21" i="7"/>
  <c r="BB21" i="7"/>
  <c r="AZ21" i="7"/>
  <c r="AX21" i="7"/>
  <c r="AV21" i="7"/>
  <c r="AT21" i="7"/>
  <c r="AR21" i="7"/>
  <c r="AP21" i="7"/>
  <c r="AN21" i="7"/>
  <c r="AL21" i="7"/>
  <c r="AJ21" i="7"/>
  <c r="AH21" i="7"/>
  <c r="AF21" i="7"/>
  <c r="AD21" i="7"/>
  <c r="AB21" i="7"/>
  <c r="Z21" i="7"/>
  <c r="X21" i="7"/>
  <c r="V21" i="7"/>
  <c r="T21" i="7"/>
  <c r="R21" i="7"/>
  <c r="P21" i="7"/>
  <c r="M21" i="7"/>
  <c r="J21" i="7"/>
  <c r="L21" i="7" s="1"/>
  <c r="H21" i="7"/>
  <c r="G21" i="7"/>
  <c r="F21" i="7"/>
  <c r="BJ20" i="7"/>
  <c r="BH20" i="7"/>
  <c r="BF20" i="7"/>
  <c r="BD20" i="7"/>
  <c r="BB20" i="7"/>
  <c r="AZ20" i="7"/>
  <c r="AX20" i="7"/>
  <c r="AV20" i="7"/>
  <c r="AT20" i="7"/>
  <c r="AR20" i="7"/>
  <c r="AP20" i="7"/>
  <c r="AN20" i="7"/>
  <c r="AL20" i="7"/>
  <c r="AJ20" i="7"/>
  <c r="AH20" i="7"/>
  <c r="AF20" i="7"/>
  <c r="AD20" i="7"/>
  <c r="AB20" i="7"/>
  <c r="Z20" i="7"/>
  <c r="X20" i="7"/>
  <c r="V20" i="7"/>
  <c r="T20" i="7"/>
  <c r="R20" i="7"/>
  <c r="P20" i="7"/>
  <c r="L20" i="7"/>
  <c r="J20" i="7"/>
  <c r="M20" i="7" s="1"/>
  <c r="H20" i="7"/>
  <c r="G20" i="7"/>
  <c r="F20" i="7"/>
  <c r="BJ18" i="7"/>
  <c r="BH18" i="7"/>
  <c r="BF18" i="7"/>
  <c r="BD18" i="7"/>
  <c r="BB18" i="7"/>
  <c r="AZ18" i="7"/>
  <c r="AX18" i="7"/>
  <c r="AV18" i="7"/>
  <c r="AT18" i="7"/>
  <c r="AR18" i="7"/>
  <c r="AP18" i="7"/>
  <c r="AN18" i="7"/>
  <c r="AL18" i="7"/>
  <c r="AJ18" i="7"/>
  <c r="AH18" i="7"/>
  <c r="AF18" i="7"/>
  <c r="AD18" i="7"/>
  <c r="AB18" i="7"/>
  <c r="Z18" i="7"/>
  <c r="X18" i="7"/>
  <c r="V18" i="7"/>
  <c r="T18" i="7"/>
  <c r="R18" i="7"/>
  <c r="P18" i="7"/>
  <c r="K18" i="7"/>
  <c r="J18" i="7"/>
  <c r="M18" i="7" s="1"/>
  <c r="H18" i="7"/>
  <c r="G18" i="7"/>
  <c r="F18" i="7"/>
  <c r="BJ17" i="7"/>
  <c r="BH17" i="7"/>
  <c r="BF17" i="7"/>
  <c r="BD17" i="7"/>
  <c r="BB17" i="7"/>
  <c r="AZ17" i="7"/>
  <c r="AX17" i="7"/>
  <c r="AV17" i="7"/>
  <c r="AT17" i="7"/>
  <c r="AR17" i="7"/>
  <c r="AP17" i="7"/>
  <c r="AN17" i="7"/>
  <c r="AL17" i="7"/>
  <c r="AJ17" i="7"/>
  <c r="AH17" i="7"/>
  <c r="AF17" i="7"/>
  <c r="AD17" i="7"/>
  <c r="AB17" i="7"/>
  <c r="Z17" i="7"/>
  <c r="X17" i="7"/>
  <c r="V17" i="7"/>
  <c r="T17" i="7"/>
  <c r="R17" i="7"/>
  <c r="P17" i="7"/>
  <c r="J17" i="7"/>
  <c r="M17" i="7" s="1"/>
  <c r="H17" i="7"/>
  <c r="G17" i="7"/>
  <c r="F17" i="7"/>
  <c r="BJ16" i="7"/>
  <c r="BH16" i="7"/>
  <c r="BF16" i="7"/>
  <c r="BD16" i="7"/>
  <c r="BB16" i="7"/>
  <c r="AZ16" i="7"/>
  <c r="AX16" i="7"/>
  <c r="AV16" i="7"/>
  <c r="AT16" i="7"/>
  <c r="AR16" i="7"/>
  <c r="AP16" i="7"/>
  <c r="AN16" i="7"/>
  <c r="AL16" i="7"/>
  <c r="AJ16" i="7"/>
  <c r="AH16" i="7"/>
  <c r="AF16" i="7"/>
  <c r="AD16" i="7"/>
  <c r="AB16" i="7"/>
  <c r="Z16" i="7"/>
  <c r="X16" i="7"/>
  <c r="V16" i="7"/>
  <c r="T16" i="7"/>
  <c r="R16" i="7"/>
  <c r="P16" i="7"/>
  <c r="K16" i="7"/>
  <c r="J16" i="7"/>
  <c r="H16" i="7"/>
  <c r="M16" i="7" s="1"/>
  <c r="G16" i="7"/>
  <c r="L16" i="7" s="1"/>
  <c r="F16" i="7"/>
  <c r="BJ15" i="7"/>
  <c r="BH15" i="7"/>
  <c r="BF15" i="7"/>
  <c r="BD15" i="7"/>
  <c r="BB15" i="7"/>
  <c r="AZ15" i="7"/>
  <c r="AX15" i="7"/>
  <c r="AV15" i="7"/>
  <c r="AT15" i="7"/>
  <c r="AR15" i="7"/>
  <c r="AP15" i="7"/>
  <c r="AN15" i="7"/>
  <c r="AL15" i="7"/>
  <c r="AJ15" i="7"/>
  <c r="AH15" i="7"/>
  <c r="AF15" i="7"/>
  <c r="AD15" i="7"/>
  <c r="AB15" i="7"/>
  <c r="Z15" i="7"/>
  <c r="X15" i="7"/>
  <c r="V15" i="7"/>
  <c r="T15" i="7"/>
  <c r="R15" i="7"/>
  <c r="P15" i="7"/>
  <c r="M15" i="7"/>
  <c r="J15" i="7"/>
  <c r="K15" i="7" s="1"/>
  <c r="H15" i="7"/>
  <c r="G15" i="7"/>
  <c r="L15" i="7" s="1"/>
  <c r="F15" i="7"/>
  <c r="BJ13" i="7"/>
  <c r="BH13" i="7"/>
  <c r="BF13" i="7"/>
  <c r="BD13" i="7"/>
  <c r="BB13" i="7"/>
  <c r="AZ13" i="7"/>
  <c r="AX13" i="7"/>
  <c r="AV13" i="7"/>
  <c r="AT13" i="7"/>
  <c r="AR13" i="7"/>
  <c r="AP13" i="7"/>
  <c r="AN13" i="7"/>
  <c r="AL13" i="7"/>
  <c r="AJ13" i="7"/>
  <c r="AH13" i="7"/>
  <c r="AF13" i="7"/>
  <c r="AD13" i="7"/>
  <c r="AB13" i="7"/>
  <c r="Z13" i="7"/>
  <c r="X13" i="7"/>
  <c r="V13" i="7"/>
  <c r="T13" i="7"/>
  <c r="R13" i="7"/>
  <c r="P13" i="7"/>
  <c r="M13" i="7"/>
  <c r="L13" i="7"/>
  <c r="K13" i="7"/>
  <c r="J13" i="7"/>
  <c r="H13" i="7"/>
  <c r="G13" i="7"/>
  <c r="F13" i="7"/>
  <c r="BJ12" i="7"/>
  <c r="BH12" i="7"/>
  <c r="BF12" i="7"/>
  <c r="BD12" i="7"/>
  <c r="BB12" i="7"/>
  <c r="AZ12" i="7"/>
  <c r="AX12" i="7"/>
  <c r="AV12" i="7"/>
  <c r="AT12" i="7"/>
  <c r="AR12" i="7"/>
  <c r="AP12" i="7"/>
  <c r="AN12" i="7"/>
  <c r="AL12" i="7"/>
  <c r="AJ12" i="7"/>
  <c r="AH12" i="7"/>
  <c r="AF12" i="7"/>
  <c r="AD12" i="7"/>
  <c r="AB12" i="7"/>
  <c r="Z12" i="7"/>
  <c r="X12" i="7"/>
  <c r="V12" i="7"/>
  <c r="T12" i="7"/>
  <c r="R12" i="7"/>
  <c r="P12" i="7"/>
  <c r="J12" i="7"/>
  <c r="M12" i="7" s="1"/>
  <c r="H12" i="7"/>
  <c r="G12" i="7"/>
  <c r="F12" i="7"/>
  <c r="BJ11" i="7"/>
  <c r="BH11" i="7"/>
  <c r="BF11" i="7"/>
  <c r="BD11" i="7"/>
  <c r="BB11" i="7"/>
  <c r="AZ11" i="7"/>
  <c r="AX11" i="7"/>
  <c r="AV11" i="7"/>
  <c r="AT11" i="7"/>
  <c r="AR11" i="7"/>
  <c r="AP11" i="7"/>
  <c r="AN11" i="7"/>
  <c r="AL11" i="7"/>
  <c r="AJ11" i="7"/>
  <c r="AH11" i="7"/>
  <c r="AF11" i="7"/>
  <c r="AD11" i="7"/>
  <c r="AB11" i="7"/>
  <c r="Z11" i="7"/>
  <c r="X11" i="7"/>
  <c r="V11" i="7"/>
  <c r="T11" i="7"/>
  <c r="R11" i="7"/>
  <c r="P11" i="7"/>
  <c r="M11" i="7"/>
  <c r="J11" i="7"/>
  <c r="L11" i="7" s="1"/>
  <c r="H11" i="7"/>
  <c r="G11" i="7"/>
  <c r="F11" i="7"/>
  <c r="BJ10" i="7"/>
  <c r="BH10" i="7"/>
  <c r="BF10" i="7"/>
  <c r="BD10" i="7"/>
  <c r="BB10" i="7"/>
  <c r="AZ10" i="7"/>
  <c r="AX10" i="7"/>
  <c r="AV10" i="7"/>
  <c r="AT10" i="7"/>
  <c r="AR10" i="7"/>
  <c r="AP10" i="7"/>
  <c r="AN10" i="7"/>
  <c r="AL10" i="7"/>
  <c r="AJ10" i="7"/>
  <c r="AH10" i="7"/>
  <c r="AF10" i="7"/>
  <c r="AD10" i="7"/>
  <c r="AB10" i="7"/>
  <c r="Z10" i="7"/>
  <c r="X10" i="7"/>
  <c r="V10" i="7"/>
  <c r="T10" i="7"/>
  <c r="R10" i="7"/>
  <c r="P10" i="7"/>
  <c r="L10" i="7"/>
  <c r="J10" i="7"/>
  <c r="M10" i="7" s="1"/>
  <c r="H10" i="7"/>
  <c r="G10" i="7"/>
  <c r="F10" i="7"/>
  <c r="BJ9" i="7"/>
  <c r="BJ170" i="7" s="1"/>
  <c r="BH9" i="7"/>
  <c r="BH170" i="7" s="1"/>
  <c r="BF9" i="7"/>
  <c r="BF170" i="7" s="1"/>
  <c r="BD9" i="7"/>
  <c r="BD170" i="7" s="1"/>
  <c r="BB9" i="7"/>
  <c r="BB170" i="7" s="1"/>
  <c r="AZ9" i="7"/>
  <c r="AZ170" i="7" s="1"/>
  <c r="AX9" i="7"/>
  <c r="AX170" i="7" s="1"/>
  <c r="AV9" i="7"/>
  <c r="AV170" i="7" s="1"/>
  <c r="AT9" i="7"/>
  <c r="AT170" i="7" s="1"/>
  <c r="AR9" i="7"/>
  <c r="AR170" i="7" s="1"/>
  <c r="AP9" i="7"/>
  <c r="AP170" i="7" s="1"/>
  <c r="AN9" i="7"/>
  <c r="AN170" i="7" s="1"/>
  <c r="AL9" i="7"/>
  <c r="AL170" i="7" s="1"/>
  <c r="AJ9" i="7"/>
  <c r="AJ170" i="7" s="1"/>
  <c r="AH9" i="7"/>
  <c r="AH170" i="7" s="1"/>
  <c r="AF9" i="7"/>
  <c r="AF170" i="7" s="1"/>
  <c r="AD9" i="7"/>
  <c r="AD170" i="7" s="1"/>
  <c r="AB9" i="7"/>
  <c r="AB170" i="7" s="1"/>
  <c r="Z9" i="7"/>
  <c r="Z170" i="7" s="1"/>
  <c r="X9" i="7"/>
  <c r="X170" i="7" s="1"/>
  <c r="V9" i="7"/>
  <c r="V170" i="7" s="1"/>
  <c r="T9" i="7"/>
  <c r="T170" i="7" s="1"/>
  <c r="R9" i="7"/>
  <c r="R170" i="7" s="1"/>
  <c r="P9" i="7"/>
  <c r="P170" i="7" s="1"/>
  <c r="K9" i="7"/>
  <c r="J9" i="7"/>
  <c r="M9" i="7" s="1"/>
  <c r="H9" i="7"/>
  <c r="G9" i="7"/>
  <c r="F9" i="7"/>
  <c r="F170" i="7" s="1"/>
  <c r="M170" i="7" l="1"/>
  <c r="K12" i="7"/>
  <c r="K22" i="7"/>
  <c r="K33" i="7"/>
  <c r="K42" i="7"/>
  <c r="K52" i="7"/>
  <c r="K62" i="7"/>
  <c r="K72" i="7"/>
  <c r="K82" i="7"/>
  <c r="K92" i="7"/>
  <c r="K102" i="7"/>
  <c r="K112" i="7"/>
  <c r="K122" i="7"/>
  <c r="K132" i="7"/>
  <c r="K142" i="7"/>
  <c r="K150" i="7"/>
  <c r="K158" i="7"/>
  <c r="K168" i="7"/>
  <c r="K11" i="7"/>
  <c r="L12" i="7"/>
  <c r="K21" i="7"/>
  <c r="L22" i="7"/>
  <c r="K31" i="7"/>
  <c r="L33" i="7"/>
  <c r="K41" i="7"/>
  <c r="L42" i="7"/>
  <c r="K51" i="7"/>
  <c r="L52" i="7"/>
  <c r="K61" i="7"/>
  <c r="L62" i="7"/>
  <c r="K70" i="7"/>
  <c r="L72" i="7"/>
  <c r="K81" i="7"/>
  <c r="L82" i="7"/>
  <c r="K91" i="7"/>
  <c r="L92" i="7"/>
  <c r="K101" i="7"/>
  <c r="L102" i="7"/>
  <c r="K111" i="7"/>
  <c r="L112" i="7"/>
  <c r="K121" i="7"/>
  <c r="L122" i="7"/>
  <c r="K130" i="7"/>
  <c r="L132" i="7"/>
  <c r="K141" i="7"/>
  <c r="L142" i="7"/>
  <c r="K149" i="7"/>
  <c r="L150" i="7"/>
  <c r="K157" i="7"/>
  <c r="L158" i="7"/>
  <c r="K167" i="7"/>
  <c r="L168" i="7"/>
  <c r="K10" i="7"/>
  <c r="K170" i="7" s="1"/>
  <c r="K20" i="7"/>
  <c r="K30" i="7"/>
  <c r="K40" i="7"/>
  <c r="K50" i="7"/>
  <c r="K59" i="7"/>
  <c r="K69" i="7"/>
  <c r="K80" i="7"/>
  <c r="K166" i="7"/>
  <c r="L167" i="7"/>
  <c r="L9" i="7"/>
  <c r="K17" i="7"/>
  <c r="L18" i="7"/>
  <c r="K27" i="7"/>
  <c r="L29" i="7"/>
  <c r="K37" i="7"/>
  <c r="L38" i="7"/>
  <c r="K47" i="7"/>
  <c r="L48" i="7"/>
  <c r="K57" i="7"/>
  <c r="L58" i="7"/>
  <c r="K66" i="7"/>
  <c r="L68" i="7"/>
  <c r="K77" i="7"/>
  <c r="L78" i="7"/>
  <c r="K87" i="7"/>
  <c r="K97" i="7"/>
  <c r="K107" i="7"/>
  <c r="K117" i="7"/>
  <c r="K127" i="7"/>
  <c r="K138" i="7"/>
  <c r="K146" i="7"/>
  <c r="K154" i="7"/>
  <c r="L17" i="7"/>
  <c r="L27" i="7"/>
  <c r="L37" i="7"/>
  <c r="L47" i="7"/>
  <c r="L57" i="7"/>
  <c r="K65" i="7"/>
  <c r="L66" i="7"/>
  <c r="K76" i="7"/>
  <c r="L77" i="7"/>
  <c r="K86" i="7"/>
  <c r="L87" i="7"/>
  <c r="K95" i="7"/>
  <c r="L97" i="7"/>
  <c r="K106" i="7"/>
  <c r="L107" i="7"/>
  <c r="K116" i="7"/>
  <c r="L117" i="7"/>
  <c r="K125" i="7"/>
  <c r="L127" i="7"/>
  <c r="K136" i="7"/>
  <c r="L138" i="7"/>
  <c r="K145" i="7"/>
  <c r="L146" i="7"/>
  <c r="K153" i="7"/>
  <c r="L154" i="7"/>
  <c r="K162" i="7"/>
  <c r="L170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<sst xmlns="http://schemas.openxmlformats.org/spreadsheetml/2006/main" count="5148" uniqueCount="1193">
  <si>
    <t>TÍTULO</t>
  </si>
  <si>
    <t>ANEXO AO PROCESSO (COM DIVISÃO)</t>
  </si>
  <si>
    <t>MOVIMENTO DIÁRIO DE EMPREGADOS</t>
  </si>
  <si>
    <t>AVISO DE SINISTRO</t>
  </si>
  <si>
    <t>TRANSMISSÃO DE FAX</t>
  </si>
  <si>
    <t>DECLARAÇÃO DE DEPÓSITO DE NUMERÁRIO</t>
  </si>
  <si>
    <t>ATESTADO DE EXECUÇÃO DE SERVIÇOS</t>
  </si>
  <si>
    <t>REQUISIÇÃO DE PAGAMENTO DE DESPESAS ESPECÍFICAS</t>
  </si>
  <si>
    <t>AUTORIZAÇÃO DE REQUISIÇÃO/DEVOLUÇÃO DE UNIFORME</t>
  </si>
  <si>
    <t>CRACHÁ DE ACESSO A SERVIÇO</t>
  </si>
  <si>
    <t>PROTOCOLO</t>
  </si>
  <si>
    <t>PAPEL CARTA OFÍCIO - Impressão (carimbo de endereço)</t>
  </si>
  <si>
    <t>CORRESPONDÊNCIA INTERNA</t>
  </si>
  <si>
    <t>PAPEL CARTA A4 - Uso digital</t>
  </si>
  <si>
    <t>ENVELOPE COM JANELA</t>
  </si>
  <si>
    <t>ENVELOPE OFÍCIO</t>
  </si>
  <si>
    <t>ENVELOPE SACO GRANDE</t>
  </si>
  <si>
    <t>ENVELOPE SACO MÉDIO</t>
  </si>
  <si>
    <t>ENVELOPE SACO PEQUENO</t>
  </si>
  <si>
    <t>ENVELOPE DE CIRCULAÇÃO INTERNA</t>
  </si>
  <si>
    <t>PASTA PARA PROCESSOS</t>
  </si>
  <si>
    <t>PAPEL CARTA HORIZONTAL A4</t>
  </si>
  <si>
    <t>LIGAÇÃO TELEFÔNICA PARTICULAR - LTP</t>
  </si>
  <si>
    <t>SOLICITAÇÃO DE VIAGEM</t>
  </si>
  <si>
    <t>BOLSO BIBLIOTECA</t>
  </si>
  <si>
    <t>MOVIMENTO DIÁRIO DE VEÍCULOS E VISITANTES</t>
  </si>
  <si>
    <t>MOVIMENTO DIÁRIO DE EMPREGADOS DE FIRMAS CONTRATADAS</t>
  </si>
  <si>
    <t>PEDIDO DE CÓPIAS</t>
  </si>
  <si>
    <t>ORDEM DE SERVIÇO EXTERNO SIMPLIFICADA</t>
  </si>
  <si>
    <t>PASTA PARA PROCESSO DE COMPRAS (PALHA)</t>
  </si>
  <si>
    <t>CONTROLE DE PESAGEM</t>
  </si>
  <si>
    <t>PASTA PARA ENCAMINHAMENTO DE PROCESSO</t>
  </si>
  <si>
    <t>SOLICITAÇÃO DE EMISSÃO DE NOTA FISCAL</t>
  </si>
  <si>
    <t>IDENTIFICAÇÃO DE MATERIAL</t>
  </si>
  <si>
    <t>CARTÃO DE IMPEDIMENTO</t>
  </si>
  <si>
    <t>AUTORIZAÇÃO DE SAÍDA DE VEÍCULO E/OU MATERIAL</t>
  </si>
  <si>
    <t>GUIA DE MOVIMENTAÇÃO DE MERCADORIA</t>
  </si>
  <si>
    <t>CAUTELA PESSOAL DE MATERIAL (USO ROTATIVO)</t>
  </si>
  <si>
    <t>CARTÃO DE RESTRIÇÃO</t>
  </si>
  <si>
    <t>ATESTADO DE SAÚDE OCUPACIONAL</t>
  </si>
  <si>
    <t>PASTA PLÁSTICA</t>
  </si>
  <si>
    <t>ATENDIMENTO AMBULATORIAL</t>
  </si>
  <si>
    <t>FOLHA DE RELATÓRIO DA AUDITORIA</t>
  </si>
  <si>
    <t>CONTROLE DE REPARO EM OFICINA</t>
  </si>
  <si>
    <t>FICHA DE ATENDIMENTO DO TELEFONE DO USUÁRIO</t>
  </si>
  <si>
    <t>CERTIFICADO DE AÇÕES</t>
  </si>
  <si>
    <t>SENHA</t>
  </si>
  <si>
    <t>RECEITUÁRIO</t>
  </si>
  <si>
    <t>AUXÍLIO REFEIÇÃO / ALIMENTAÇÃO</t>
  </si>
  <si>
    <t>SOLICITAÇÃO DE CRÉDITO PARA DESPESAS DE FUNERAL</t>
  </si>
  <si>
    <t>REGISTRO DE ATIVIDADES DE ESCADAS ROLANTES</t>
  </si>
  <si>
    <t>PASTA PARA PROCESSO</t>
  </si>
  <si>
    <t>FUNDO ROTATIVO COMPRA DE MATERIAIS</t>
  </si>
  <si>
    <t>RECIBO DE RETENÇÃO DE BILHETE</t>
  </si>
  <si>
    <t>RECIBO</t>
  </si>
  <si>
    <t>INSTRUMENTO NORMATIVO - A - Manual e procedimento</t>
  </si>
  <si>
    <t>INSTRUMENTO NORMATIVO - B - Norma e política</t>
  </si>
  <si>
    <t>INSTRUMENTO NORMATIVO - C - Acordo de nível de serviço</t>
  </si>
  <si>
    <t>CARTÃO CONVÊNO</t>
  </si>
  <si>
    <t>MEMORANDO DE REMESSA DE DOCUMENTOS TÉCNICOS - ENTRADA / SAÍDA</t>
  </si>
  <si>
    <t>AVALIAÇÃO DE REAÇÃO DE TREINAMENTO</t>
  </si>
  <si>
    <t>CONTROLE DE UTILIZAÇÃO DE VEÍCULOS</t>
  </si>
  <si>
    <t>SÍNTESE DAS AVALIAÇÕES DE REAÇÃO E APRENDIZAGEM</t>
  </si>
  <si>
    <t>ESCOPO DA MENSURAÇÃO EM TDE</t>
  </si>
  <si>
    <t>METODO DE ANÁLISE PROGRESSIVA DE FALHAS - MAPF</t>
  </si>
  <si>
    <t>SOLICITAÇÃO DE EMPRÉSTIMOS DE EMERGÊNCIA</t>
  </si>
  <si>
    <t>FORMULÁRIO DE EMPRÉSTIMO BIBLIOGRÁFICO - USUÁRIOS EXTERNOS</t>
  </si>
  <si>
    <t>AUXÍLIO DESLOCAMENTO - Requerimento de Benefício</t>
  </si>
  <si>
    <t>VALE TRANSPORTE - TERMO DE OPÇÃO</t>
  </si>
  <si>
    <t>AUXÍLIO TRANSPORTE - Requerimento de Benefício</t>
  </si>
  <si>
    <t>CIRCULAÇÃO DE PERIÓDICOS</t>
  </si>
  <si>
    <t>AUTORIZAÇÃO DE DESCONTO EM FOLHA</t>
  </si>
  <si>
    <t>FOLHA PARA LIVRO SOCIETÁRIO</t>
  </si>
  <si>
    <t>ATENDIMENTO EM PRIMEIROS SOCORROS</t>
  </si>
  <si>
    <t>FICHA DE CONTROLE DE ENTREGA DE EPI</t>
  </si>
  <si>
    <t>PASSE</t>
  </si>
  <si>
    <t>RECIBO DE ENTREGA DE VALORES</t>
  </si>
  <si>
    <t>LISTA DE PRESENÇA TIPO "A"</t>
  </si>
  <si>
    <t>LISTA DE PRESENÇA TIPO "B"</t>
  </si>
  <si>
    <t>SÍNTESE DA AVALIAÇÃO DE APLICABILIDADE</t>
  </si>
  <si>
    <t>REPOSIÇÃO DE DIFERENÇA DE CAIXA</t>
  </si>
  <si>
    <t>RELATÓRIO DE AÇÕES CORRETIVAS DE AVALIAÇÃO DE TREINAMENTO - RACAT</t>
  </si>
  <si>
    <t>SÍNTESE DA AVALIAÇÃO DE RESULTADO</t>
  </si>
  <si>
    <t>CONTROLE DE DEPÓSITOS E RETIRADAS DE MALOTES</t>
  </si>
  <si>
    <t>REGISTRO DE CRACHÁS DE ACESSO A SERVIÇO</t>
  </si>
  <si>
    <t>MOVIMENTO DIÁRIO DE VISITANTES E FORNECEDORES</t>
  </si>
  <si>
    <t>CONTROLE DE ENTRADA E SAÍDA DE BENS PARTICULARES</t>
  </si>
  <si>
    <t>CONTROLE DE NOTAS FISCAIS</t>
  </si>
  <si>
    <t>CONTROLE DE CHAVES</t>
  </si>
  <si>
    <t>RELATÓRIO DE OCORRÊNCIA COM VEÍCULOS</t>
  </si>
  <si>
    <t>PERMISSÃO  DE ENTRADA E TRABALHO - PET (ESPAÇOS CONFINADOS)</t>
  </si>
  <si>
    <t xml:space="preserve">DELEGAÇÃO DE COMPETÊNCIA -DC </t>
  </si>
  <si>
    <t>QUADRO DE ATIVIDADE POR CARGO/POSTO</t>
  </si>
  <si>
    <t>RELATÓRIO DE ATIVIDADES EM CONDIÇÕES DE PERICULOSIDADE ELÉTRICA</t>
  </si>
  <si>
    <t>QUADRO DE ENQUADRAMENTO ESPECÍFICO</t>
  </si>
  <si>
    <t>REQUISIÇÃO DE PASSAGEM AÉREA</t>
  </si>
  <si>
    <t>ESPECIFICAÇÃO DE FORMULÁRIO OFICIAL</t>
  </si>
  <si>
    <t>FICHA DE AVALIAÇÃO DOCUMENTAL</t>
  </si>
  <si>
    <t>SOLICITAÇÃO DE RETIRADA DE DOCUMENTOS PARA FRAGMENTAÇÃO</t>
  </si>
  <si>
    <t>PASTA PROGRAMAÇÃO DE ATIVIDADE ABERTA</t>
  </si>
  <si>
    <t>RELAÇÃO DE ITENS PATRIMONIAIS</t>
  </si>
  <si>
    <t>REEMBOLSO DE MEDICAMENTOS ESPECIAIS</t>
  </si>
  <si>
    <t>RELATÓRIO DIÁRIO DA SSO</t>
  </si>
  <si>
    <t>DESCRIÇÃO DE CARGO</t>
  </si>
  <si>
    <t>SÍNTESE DAS AVALIAÇÕES DE REAÇÃO, APREND. E APLICABILIDADE DE EDUC. CORPORATIVA</t>
  </si>
  <si>
    <t>AVALIAÇÃO DE REAÇÃO E EDUCAÇÃO CORPORATIVA</t>
  </si>
  <si>
    <t>AUTORIZAÇÃO PARA TRABALHOS (NR 10) - INSTALAÇÕES E SERVIÇOS ELÉTRICOS</t>
  </si>
  <si>
    <t>TERMO DE ENCERRAMENTO - GRUPO DE TRABALHO / COMISSÃO / SINDICÂNCIA</t>
  </si>
  <si>
    <t>MALOTE DE RECOLHIMENTO DE BILHETES TARJADOS/RECARTILHADOS</t>
  </si>
  <si>
    <t>RELATÓRIO DE COMUNICAÇÃO DE OCORRÊNCIA (RECON)</t>
  </si>
  <si>
    <t>DECLARAÇÃO DE ENCARGOS DE FAMÍLIA P/ FINS DE IMP. DE RENDA</t>
  </si>
  <si>
    <t>TERMO DE DOAÇÃO - BIBLIOTECA</t>
  </si>
  <si>
    <t>SOLICITAÇÃO DE EMPRÉSTIMO ENTRE BIBLIOTECAS</t>
  </si>
  <si>
    <t>TERMO DE ABERTURA DO PROJETO</t>
  </si>
  <si>
    <t>REGISTRO DE MUDANÇA</t>
  </si>
  <si>
    <t>TERMO DE ENCERRAMENTO DO PROJETO</t>
  </si>
  <si>
    <t>LIÇÃO APRENDIDA</t>
  </si>
  <si>
    <t>CADASTRO DE DISTRIBUIÇÃO DE DOCUMENTOS - CDD</t>
  </si>
  <si>
    <t>MATRIZ DE COMUNICAÇÃO</t>
  </si>
  <si>
    <t>REGISTRO DAS PARTES INTERESSADAS</t>
  </si>
  <si>
    <t>LISTA DE VERIFICAÇÃO</t>
  </si>
  <si>
    <t>VISITA TÉCNICA - IMPACTO DE OBRA</t>
  </si>
  <si>
    <t>REQUERIMENTO DE INCLUSÃO NO BENEFÍCIO - PCD</t>
  </si>
  <si>
    <t>AUXÍLIO CRECHE / EDUCAÇÃO</t>
  </si>
  <si>
    <t>IDENTIFICAÇÃO E CONTROLE DE BENS PATRIMONIAS</t>
  </si>
  <si>
    <t>FORMALIZAÇÃO DE OCORRÊNCIA - DOCUMENTO CONFIDENCIAL</t>
  </si>
  <si>
    <t>FICHA DE REGISTRO DO CANDIDATO</t>
  </si>
  <si>
    <t>CONVÊNIO FARMÁCIA - Requerimento de Benefício</t>
  </si>
  <si>
    <t>AR CONDICIONADO - CONTROLE MANUTENÇÃO</t>
  </si>
  <si>
    <t>RESERVATÓRIO DE ÁGUA - CONTROLE DE LIMPEZA</t>
  </si>
  <si>
    <t>ADVERTÊNCIA POR IRREGULARIDADE</t>
  </si>
  <si>
    <t>ELEMENTO FILTRANTE</t>
  </si>
  <si>
    <t>RESPOSTA DE AUDITORIA, SEGURANÇA DA INFORMAÇÃO E CONFORMIDADE</t>
  </si>
  <si>
    <t>SOLICITAÇÃO DE SUBSÍDIO PARA CURSOS DE PÓS-GRADUAÇÃO</t>
  </si>
  <si>
    <t>PROTOCOLO DE AVALIAÇÃO DOS FATORES DE RISCO PSICOSSOCIAL</t>
  </si>
  <si>
    <t>ENCAMINHAMENTO DE SERVIÇOS GRÁFICOS</t>
  </si>
  <si>
    <t>SOLICITAÇÃO DE SERVIÇO DE TECNOLOGIA DA INFORMAÇÃO E COMUNICAÇÃO</t>
  </si>
  <si>
    <t>NOTIFICAÇÃO DE IRREGULARIDADE</t>
  </si>
  <si>
    <t>PASTA PARA TREINAMENTO - LISTA DE PRESENÇA</t>
  </si>
  <si>
    <t>PLANEJAMENTO DE ADEQUAÇÃO</t>
  </si>
  <si>
    <t>CONTROLE DE ENTREGA DE COMPOSIÇÕES ENTRE OPERAÇÃO E MANUTENÇÃO</t>
  </si>
  <si>
    <t>EXPOSIÇÃO AOS RISCOS OCUPACIONAIS - DESCRIÇÃO DE ATIVIDADE/AMBIENTES</t>
  </si>
  <si>
    <t>EXPOSIÇÃO AOS RISCOS OCUPACIONAIS - IDENTIFICAÇÃO DOS RISCOS OCUPACIONAIS</t>
  </si>
  <si>
    <t xml:space="preserve">TRABALHO EM ALTURA - ANÁLISE DE RISCO (AR) E PERMISSÃO DE TRABALHO (PT) </t>
  </si>
  <si>
    <t>PLANEJAMENTO DE ADEQUAÇÃO - CHECK-LIST</t>
  </si>
  <si>
    <t>REQUISIÇÃO DE PAGAMENTO - CONTINGÊNCIA SAP</t>
  </si>
  <si>
    <t>ATESTADO DE EXECUÇÃO DE SERVIÇOS - CONTINGÊNCIA SAP</t>
  </si>
  <si>
    <t>FICHA DE APROVAÇÃO - CONTINGÊNCIA SAP</t>
  </si>
  <si>
    <t>CADASTRO OU ALTERAÇÃO DE DADOS MESTRES DE FORNECEDORES OU CLIENTES</t>
  </si>
  <si>
    <t>DADOS PARA REQUISIÇÃO DE PAGAMENTO</t>
  </si>
  <si>
    <t>FISCALIZAÇÃO DE ESPAÇOS COMERCIAIS</t>
  </si>
  <si>
    <t>CHECK-LIST INÍCIO DE OPERAÇÃO COMERCIAL - GNG</t>
  </si>
  <si>
    <t>PENDÊNCIAS - SHOPPING</t>
  </si>
  <si>
    <t>AVALIAÇÃO DE EXECUÇÃO DE SERVIÇOS</t>
  </si>
  <si>
    <t>RELATÓRIO DE FISCALIZAÇÃO</t>
  </si>
  <si>
    <t>CONCILIAÇÃO FISCAL - DE/PARA</t>
  </si>
  <si>
    <t>CONSOLE DE CONTROLE DE TRENS - RELATÓRIO DIÁRIO DE OCORRÊNCIAS</t>
  </si>
  <si>
    <t>CONSOLE DE ENERGIA E AUXILIARES - RELATÓRIO DIÁRIO DE OCORRÊNCIAS</t>
  </si>
  <si>
    <t>CONSOLE DE FLUXO DE PASSAGEIROS - RELATÓRIO DIÁRIO DE OCORRÊNCIA</t>
  </si>
  <si>
    <t>DOCUMENTO TÉCNICO ADMINISTRATIVO</t>
  </si>
  <si>
    <t>REQUISIÇÃO DE PAGAMENTO POR COMPRA DIRETA</t>
  </si>
  <si>
    <t>RELATÓRIO DE VERIFICAÇÃO</t>
  </si>
  <si>
    <t>PLANILHA DE SERVIÇOS E QUANTIDADES</t>
  </si>
  <si>
    <t>REGISTRO DE AVALIAÇÃO E PARECER SOBRE
OCORRÊNCIAS DE TRÂNSITO</t>
  </si>
  <si>
    <t>CONTROLE DE ACHADOS E PERDIDOS</t>
  </si>
  <si>
    <t>RELATÓRIO ANEXO À RC</t>
  </si>
  <si>
    <t>ANÁLISE E DELIBERAÇÃO DA 
MUDANÇA</t>
  </si>
  <si>
    <t>REGISTRO E DEFINIÇÃO DE INDICADOR COORPORATIVO</t>
  </si>
  <si>
    <t>CONTROLE SEMANAL DE VEÍCULOS II</t>
  </si>
  <si>
    <t>DECLARAÇÃO DO ESCOPO DO PROJETO</t>
  </si>
  <si>
    <t>ARTEFATOS PARA GERENCIAMENTO DE PROJETOS</t>
  </si>
  <si>
    <t>TERMO DE USO DO CHACHÁ DE CONTRATADO</t>
  </si>
  <si>
    <t>AUTORIZAÇÃO DE AJUSTES CONTÁBEIS</t>
  </si>
  <si>
    <t>AVALIAÇÃO DE RISCOS OCUPACIONAIS NA MOVIMENTAÇÃO DE PESSOAL</t>
  </si>
  <si>
    <t>EDITAL PADRÃO</t>
  </si>
  <si>
    <t>TERMO DE RESPONSABILIDADE DE USO DE REDE PARA
PRESTADOR DE SERVIÇOS</t>
  </si>
  <si>
    <t>ORDEM DE SERVIÇO - OS (Risco Elétrico)</t>
  </si>
  <si>
    <t>AUTORIZAÇÃO PARA ATIVIDADES - NR 10 (Risco Elétrico)</t>
  </si>
  <si>
    <t>QUADRO DE ATIVIDADES PARA AVALIAÇÃO DE EXPOSIÇÃO AO RISCO ELÉTRICO</t>
  </si>
  <si>
    <t>FICHA DE CONTROLE DE MÁSCARAS DE TECIDO</t>
  </si>
  <si>
    <t>AUTORIZAÇÃO DE SERVIÇOS</t>
  </si>
  <si>
    <t>LAUDO DE INSTRUÇÃO FOTOGRÁFICO</t>
  </si>
  <si>
    <t>ORDEM DE SERVIÇO ELETRÔNICA</t>
  </si>
  <si>
    <t>SOLICITAÇÃO DE DUE DILIGENCE DE INTEGRIDADE</t>
  </si>
  <si>
    <t>FICHA PARA ANÁLISE PRELIMINAR DE RISCO</t>
  </si>
  <si>
    <t>REQUERIMENTO DE MANUTENÇÃO NO BENEFÍCIO - PCD</t>
  </si>
  <si>
    <t>CONTROLE DO BENEFÍCIO - PCD</t>
  </si>
  <si>
    <t>RELATÓRIO DE INTELIGÊNCIA</t>
  </si>
  <si>
    <t>CERTIFICADO DE REABILITAÇÃO PROFISSIONAL INTERNA</t>
  </si>
  <si>
    <t>PERFIL DO CARGO</t>
  </si>
  <si>
    <t>TERMO DE EXCLUSÃO - SEGURO DE VIDA EM GRUPO</t>
  </si>
  <si>
    <t>MOVIMENTAÇÃO DE PESSOAL</t>
  </si>
  <si>
    <t>COMUNICAÇÃO DE DESLIGAMENTO - CD</t>
  </si>
  <si>
    <t>AVALIAÇÃO DE RISCOS OCUPACIONAIS NAS MUDANÇAS EM OPERAÇÕES E INSTALAÇÕES</t>
  </si>
  <si>
    <t>DOCUMENTO TÉCNICO</t>
  </si>
  <si>
    <t>ETIQUETA DE COMPONENTE</t>
  </si>
  <si>
    <t>CONTROLE DIÁRIO DE AERONAVE</t>
  </si>
  <si>
    <t>FICHA DE INSPEÇÃO</t>
  </si>
  <si>
    <t>RELATÓRIO DE AVALIAÇÃO DE RISCO OPERACIONAL</t>
  </si>
  <si>
    <t>RELATÓRIO DE OCORRÊNCIA DE ACIDENTE AÉREO</t>
  </si>
  <si>
    <t>MOVIMENTAÇÃO DE VALORES - RETORNO</t>
  </si>
  <si>
    <t>RELATÓRIO DE SERVIÇOS DIÁRIOS</t>
  </si>
  <si>
    <t>ATESTADO DE EXECUÇÃO DE MANUTENÇÃO</t>
  </si>
  <si>
    <t>RECIBO DE RETIRADA DE VALORES</t>
  </si>
  <si>
    <t>GUIA DE REMESSA DE DOCUMENTOS ADMINISTRATIVOS</t>
  </si>
  <si>
    <t>PLANO DE ENSINO</t>
  </si>
  <si>
    <t>MANUTENÇÃO PREVENTIVA DO METROCARRO</t>
  </si>
  <si>
    <t>CONTRATOS OU ATOS JURÍDICOS ANÁLOGOS - CADASTRO DOS RESPONSÁVEIS</t>
  </si>
  <si>
    <t>MANUTENÇÃO PREVENTIVA DO METROCARRO - FICHA DE ANOTAÇÕES</t>
  </si>
  <si>
    <t>RELATÓRIO DE VENDA NO CONTAINER</t>
  </si>
  <si>
    <t>CONTROLE DE VALORES DO COFRE</t>
  </si>
  <si>
    <t>RECIBO DE ABASTECIMENTO DE CONTAINER</t>
  </si>
  <si>
    <t>COMUNICAÇÃO DO PASSAGEIRO</t>
  </si>
  <si>
    <t>CADASTRO FUNCIONAL</t>
  </si>
  <si>
    <t>CAIXA ARQUIVO</t>
  </si>
  <si>
    <t>TORRE DE CONTROLE DO PÁTIO</t>
  </si>
  <si>
    <t>PRESTAÇÃO DE CONTAS - VIAGEM</t>
  </si>
  <si>
    <t>CADASTRO LINDEIROS - RESIDENCIAL</t>
  </si>
  <si>
    <t>CADASTRO LINDEIROS - NÃO RESIDENCIAL</t>
  </si>
  <si>
    <t>Digital</t>
  </si>
  <si>
    <t>APRESENTAÇÃO</t>
  </si>
  <si>
    <t>TIPO DE IMPRESSÃO</t>
  </si>
  <si>
    <t>F/V</t>
  </si>
  <si>
    <t>FURO ARQUIVO</t>
  </si>
  <si>
    <t>BLOCAGEM</t>
  </si>
  <si>
    <t>NUMERAÇÃO</t>
  </si>
  <si>
    <t>SERRILHA</t>
  </si>
  <si>
    <t>LAMINAÇÃO</t>
  </si>
  <si>
    <t>PICOTE</t>
  </si>
  <si>
    <t>VINCO</t>
  </si>
  <si>
    <t>DOBRA</t>
  </si>
  <si>
    <t>MARGEM E</t>
  </si>
  <si>
    <t>MARGEM D</t>
  </si>
  <si>
    <t>MARGEM S</t>
  </si>
  <si>
    <t>MARGEM I</t>
  </si>
  <si>
    <t>PAPEL TIPO</t>
  </si>
  <si>
    <t>PAPEL COR</t>
  </si>
  <si>
    <t>GRAMATURA</t>
  </si>
  <si>
    <t>DIMENSOES</t>
  </si>
  <si>
    <t>COR IMPRESSÃO</t>
  </si>
  <si>
    <t>OBSERVAÇÕES</t>
  </si>
  <si>
    <t>OFF SET</t>
  </si>
  <si>
    <t>F</t>
  </si>
  <si>
    <t>Não</t>
  </si>
  <si>
    <t>Sulfite</t>
  </si>
  <si>
    <t>Branco</t>
  </si>
  <si>
    <t>75gr</t>
  </si>
  <si>
    <t>210x297</t>
  </si>
  <si>
    <t>PANTONE REFLEX BLUE C</t>
  </si>
  <si>
    <t>Não se aplica</t>
  </si>
  <si>
    <t>Arquivo Digital</t>
  </si>
  <si>
    <t>Local impressora</t>
  </si>
  <si>
    <t>BLOCOS 50X1</t>
  </si>
  <si>
    <t>SIM</t>
  </si>
  <si>
    <t>Serrilha a 56mm da margem esquerda</t>
  </si>
  <si>
    <t>sem</t>
  </si>
  <si>
    <t>148x210</t>
  </si>
  <si>
    <t>210x248</t>
  </si>
  <si>
    <t>210X148</t>
  </si>
  <si>
    <t>148X210</t>
  </si>
  <si>
    <t>ATENDIMENTO AO EMPREGADO - PROTOCOLO</t>
  </si>
  <si>
    <t>74X148</t>
  </si>
  <si>
    <t>BLOCOS 25X3</t>
  </si>
  <si>
    <t>ESQUERDA</t>
  </si>
  <si>
    <t>CABEÇA</t>
  </si>
  <si>
    <t>6 Dig. (1 posicao)</t>
  </si>
  <si>
    <t>VIAS</t>
  </si>
  <si>
    <t>Autocopiativo</t>
  </si>
  <si>
    <t>Padrão</t>
  </si>
  <si>
    <t>163x95</t>
  </si>
  <si>
    <t>Maço de 100</t>
  </si>
  <si>
    <t>Envelope</t>
  </si>
  <si>
    <t>114x229</t>
  </si>
  <si>
    <t>OFF-SET</t>
  </si>
  <si>
    <t>229X114</t>
  </si>
  <si>
    <t>1) Margem esquerda a 20mm do texto do endereçamento, alinhando com a letra "C" de Companhia do logotipo.
2) Logotipo sangrado a esquerda.
3) Envelope Padrão RPC.
4) Não é necessário a indicação gráfica do posicionamento do selo e CEP.</t>
  </si>
  <si>
    <t>1 - Margem esquerda a 20mm do texto do endereçamento, alinhado com a letra C de Companhia do logotipo.
2 - Logotipo sangrado a esquerda.
3  Não é necessária a indicação gráfica do posicionamento do selo e CEP.</t>
  </si>
  <si>
    <t>Kraft Natural</t>
  </si>
  <si>
    <t>Pardo</t>
  </si>
  <si>
    <t>110gr</t>
  </si>
  <si>
    <t>310x410</t>
  </si>
  <si>
    <t>Nota 1: A marca institucional deverá ter uma tarja sangrada a esquerda, de 30mm, contados a partir da letra C de Companhia.
Nota 2: Aba de fechamento: Deverá ser vincada, chanfrada, dobrada com 50 mm de dimensão.</t>
  </si>
  <si>
    <t>185x248</t>
  </si>
  <si>
    <t>Envelope Plático</t>
  </si>
  <si>
    <t>Flexografia</t>
  </si>
  <si>
    <t>Branco Pigmentado</t>
  </si>
  <si>
    <t>30g / 0,15 micras</t>
  </si>
  <si>
    <t>1 Acabamento especial: Fecho ZIP LOCK (Média/Alta pressão).
2 Polietileno de baixa densidade + aditivo Oxibiodegradável de tinta especial para aceitação de escrita manual (caneta esferográfica).
3 Envelope pigmentado na cor branca.
4 Peso de 30g e espessura de 0,15 micras ( vide modelo demonstrativo ).
5 Pantone Reflex Blue (vide modelo demonstrativo).</t>
  </si>
  <si>
    <t>Capa e Contra Capa</t>
  </si>
  <si>
    <t>Esquerda</t>
  </si>
  <si>
    <t>Sim</t>
  </si>
  <si>
    <t>Cartão</t>
  </si>
  <si>
    <t>Azul</t>
  </si>
  <si>
    <t>240gr</t>
  </si>
  <si>
    <t>272x322</t>
  </si>
  <si>
    <t>Furos duplos para arquivo, pela esquerda que deverão coincidir após a dobra.
Dois vincos a 25mm e 50mm da borda esquerda.
Impressão só na capa.</t>
  </si>
  <si>
    <t>Fichas</t>
  </si>
  <si>
    <t>Canário</t>
  </si>
  <si>
    <t>Palha</t>
  </si>
  <si>
    <t>Preto</t>
  </si>
  <si>
    <t>1 Furos para arquivo: Furos duplos para arquivo, pelo lado esquerdo, que deverão coincidir após a dobra.
2 Vinco: Dois vincos, um a 25 mm e outro a 50 mm da borda esquerda.
3 Laminação: frente e verso, aspecto fosco.
4 Laminação: os cantos deverão ser arredondados.</t>
  </si>
  <si>
    <t>Blocos 25x5</t>
  </si>
  <si>
    <t>165x60</t>
  </si>
  <si>
    <t>A 5 via é apenas para receber a prensagem da balança, que será descartada.
Realizar blocagem de alta qualidade para perfeita utilização em balança manual.</t>
  </si>
  <si>
    <t xml:space="preserve">Pasta </t>
  </si>
  <si>
    <t>Vide nota</t>
  </si>
  <si>
    <t>Reciclato</t>
  </si>
  <si>
    <t>Natural - Palha</t>
  </si>
  <si>
    <t>229x325</t>
  </si>
  <si>
    <t>Acabamento Especial: furação com 06 ( seis ) furos localizados a 120 mm do vinco central. conforme descrição abaixo:
           &gt; 02 ( dois ) furos a 80mm da margem superior.
           &gt; 02 ( dois ) furos a 145mm da margem superior.
           &gt; 02 ( dois ) furos a 80mm da margem inferior.</t>
  </si>
  <si>
    <t>65x133</t>
  </si>
  <si>
    <t>Cabeça</t>
  </si>
  <si>
    <t>115x175</t>
  </si>
  <si>
    <t>Vide Observações</t>
  </si>
  <si>
    <t xml:space="preserve">1 - A margem SUPERIOR é de 15mm da 1º tarja.
2 - Um furo centralizado na margem superior que será transpassado pelo barbante de 30 cm de comprimento.
3 - A tarja da palavra PERIGO é impreso em vermelho, o restante em preto. </t>
  </si>
  <si>
    <t>Blocos 15x2</t>
  </si>
  <si>
    <t>TALONADO</t>
  </si>
  <si>
    <t>75x210</t>
  </si>
  <si>
    <t>1 Cor de Impressão: 1ª Via Pantone Reflex Blue C e 2ª Via Preto
2 Talonado com 2 grampos - margem esquerda.
3 Serrilhas em duas posições com afastamento de 10mm e 68mm da margem esquerda.
4 Uma imagem para frente e outra para o verso.</t>
  </si>
  <si>
    <t>1 A margem SUPERIOR é de 15mm da 1º tarja.
2 Um furo centralizado na margem superior que será transpassado pelo barbante de 30 cm de comprimento.
3 A tarja da palavra ATENÇÃO será impressa em AMARELO, o restante na cor PRETO 100%.</t>
  </si>
  <si>
    <t>Silk-screen</t>
  </si>
  <si>
    <t>Vide Obs.</t>
  </si>
  <si>
    <t>1 Tipo de Impressão: Silk-Screen.
2 a-) Plástico camurça 0,20mm (PVC) na cor Pantone Reflex Blue C.
    b-) revestida externamente em PVC cristal transparente de espessura 0,20mm.  
    c-) enrijecida com papelão 15.
    d-) 4 furos, internos, para aprisionamento de folhas (vide modelo).
    e-) A pasta deverá conter 04 parafusos plásticos (vide modelo).
Obs.: Vide demais especificações no desenho anexo.</t>
  </si>
  <si>
    <t>Folhas soltas</t>
  </si>
  <si>
    <t>SIM 5 Díg. 2 posições</t>
  </si>
  <si>
    <t>Vide Nota D</t>
  </si>
  <si>
    <t>Vide Nota E</t>
  </si>
  <si>
    <t>Nota A_ Numeração: Deverá ser impressa à margem inferior à esquerda do verso do recibo e do certificado (conforme modelo). De 01001 a 02000.
Nota B_  Acabamento Especial: Serrilha intermediária horizontal a 120 mm da borda superior.
Nota C_ Fotolitos: FRENTE - ( 01 laserfilm do formulário + 01 fundo de segurança + 01 tarja de segurança ); VERSO - ( 01 desenho do formulário + 01 fundo de segurança ).
Nota D_ Papel de segurança com marca d'água autêntica 90g/m² com filigranas invisíveis ( visível por fluorescência sob lâmpada ultravioleta).
Nota E_ Azul Rei 900.4 Renner e Cinza Pantone 445U para o fundo de segurança.
Temos os fotolitos.</t>
  </si>
  <si>
    <t>Blocos 100x1</t>
  </si>
  <si>
    <t>Sim 6 Díg. 2 posições</t>
  </si>
  <si>
    <t>52x148</t>
  </si>
  <si>
    <t>Nota 1_ Numeração: Quando a numeração chegar a 999.999. retornar a 000.001.
Nota 2_ Acabamento Especial: Serrilha intermediária a 74 mm das linhas de corte esquerda e direita.
ATENÇÃO: Formulário com 2 VERSÕES – Uma para uso no POSTO DE BILHETE ESPECIAL.</t>
  </si>
  <si>
    <t>Uso GERAL apenas para versão A.
* Furos duplos para arquivo que deverão coincidir após a dobra.
- Dois vincos a 25mm e 50mm da borda esquerda.
- Laminação brilhante em frente e verso (exceto versão A)
VERSÕES: 
Uso GERAL apenas para versão A – sem laminação.
A (cor PALHA - ref.475U), B (cor AZUL ESCURO - ref.542U), C (cor CANÁRIO - ref. 100U), D (cor CINZA ref. 428U), 
E (cor LARANJA - ref. 136U), F (cor ROSA - ref. 210U), 
G (cor VERDE - ref. 337U), H (cor VERMELHO - ref. 200U).
Nota: referências do catálogo Pantone.</t>
  </si>
  <si>
    <t>Esquerda (*)</t>
  </si>
  <si>
    <t>210x148</t>
  </si>
  <si>
    <t>Numeração com 6 dígitos. Ao atingir 999.999, retornar a 000.001.
Serrilha a 52,5mm da linha de corte inferior</t>
  </si>
  <si>
    <t>Blocos 25x3</t>
  </si>
  <si>
    <t>6 Díg. - 1 posição</t>
  </si>
  <si>
    <t>6 Díg. 2 posições</t>
  </si>
  <si>
    <t>150gr</t>
  </si>
  <si>
    <t>215,9x330,2</t>
  </si>
  <si>
    <t>Pacote com 1.000 folhas, sendo cintadas de 100 em 100 folhas soltas e embaladas com película plástica em jogos de 2 cintas.</t>
  </si>
  <si>
    <t>Numeração com 6 dígitos. Ao atingir 999999, deverá retornar a 000001.</t>
  </si>
  <si>
    <t>148x105</t>
  </si>
  <si>
    <t>Blocos 50x2</t>
  </si>
  <si>
    <t>297x210</t>
  </si>
  <si>
    <t>verde claro</t>
  </si>
  <si>
    <t>327x490</t>
  </si>
  <si>
    <t>Margem Superior 252mm - Dobra ao centro na medida maior do papel.</t>
  </si>
  <si>
    <t>420x297</t>
  </si>
  <si>
    <t>MAÇO 25 FOLHAS</t>
  </si>
  <si>
    <t>Etiqueta autoadesiva</t>
  </si>
  <si>
    <t>105x74</t>
  </si>
  <si>
    <t>Maço 50x1</t>
  </si>
  <si>
    <t>Cabeça Nota 1</t>
  </si>
  <si>
    <t>Vide nota 2</t>
  </si>
  <si>
    <t>74x105</t>
  </si>
  <si>
    <t>NOTA 1: Furo único, na cabeça, centralizado para aprisionamento, à distância de 10mm abaixo da borda superior do suporte.
Nota 2: Conforme solicitação da área Usuária, desde que dentro das 6 opções a seguir:
1 Papel Cartão, cor branca, 240g  -  2 Papel Colorido na Massa cor Canário, 150g
3 Papel Colorido na Massa cor Azul, 150g  -  4 Papel Colorido na Massa cor Rosa, 150g
5 Papel Colorido na Massa cor Verde, 150g  -  6 Papel Colorido na Massa cor Palha, 150g</t>
  </si>
  <si>
    <t>60x120</t>
  </si>
  <si>
    <t>3 Díg. 1 posição</t>
  </si>
  <si>
    <t>CARTÃO</t>
  </si>
  <si>
    <t>300GR</t>
  </si>
  <si>
    <t>460X330</t>
  </si>
  <si>
    <t>CINZA 50%</t>
  </si>
  <si>
    <t>LAMINAÇÃO SOMENTE NA FACE EXTERNA
FUROS PARA ARQUIVO SOMENTA NA CONTRA CAPA</t>
  </si>
  <si>
    <t>215x320</t>
  </si>
  <si>
    <t>Blocos 50x1</t>
  </si>
  <si>
    <t>105x148</t>
  </si>
  <si>
    <t>Não liberar para gráfica - impressão local</t>
  </si>
  <si>
    <t>Jogo 2 vias</t>
  </si>
  <si>
    <t>95x157</t>
  </si>
  <si>
    <t>6 Díg. 1 posição</t>
  </si>
  <si>
    <t>5 Díg. 1 posição</t>
  </si>
  <si>
    <t>Super bond</t>
  </si>
  <si>
    <t>Rosa</t>
  </si>
  <si>
    <t>Serrilha vertical a 169mm da margem esquerda e serrilha horizontal a 79mm da margem superior, conforme modelo.
- FACE DE IMPRESSÃO: Frente/ Verso. Pé com cabeça.</t>
  </si>
  <si>
    <t>297x140</t>
  </si>
  <si>
    <t>COR DE IMPRESSÃO: 1ª Via Pantone Reflex Blue C   -   2ª e 3ª Vias: PRETO
COR DO PAPEL: 1ª Via BRANCO - 2ª Via VERDE e 3ª Via CANÁRIO 
FUROS PARA ARQUIVO: posicionado na margem superior.
NUMERAÇÃO: a ser informada (6 dígitos ao atingir 999999 deverá retornar à 000001)</t>
  </si>
  <si>
    <t>COR DE IMPRESSÃO: 1ª Via Pantone Reflex Blue C   -   2ª e 3ª Vias: PRETO
COR DO PAPEL: 1ª Via BRANCO - 2ª Via AZUL e 3ª Via CANÁRIO 
FUROS PARA ARQUIVO: posicionado na margem superior.
NUMERAÇÃO: a ser informada (6 dígitos ao atingir 999999 deverá retornar à 000001)</t>
  </si>
  <si>
    <t>COR DE IMPRESSÃO: 1ª Via Pantone Reflex Blue C   -   2ª e 3ª Vias: PRETO
COR DO PAPEL: 1ª Via BRANCO - 2ª Via AZUL e 3ª Via CANÁRIO 
FUROS PARA ARQUIVO: posicionado na margem superior.
NUMERAÇÃO: a ser informada (5 dígitos ao atingir 99999 deverá retornar à 00001)</t>
  </si>
  <si>
    <t>297x105</t>
  </si>
  <si>
    <t>Bloco 50x2</t>
  </si>
  <si>
    <t>COR DE IMPRESSÃO: 1ª Via Pantone Reflex Blue C   -   2ª Via: PRETO
COR DO PAPEL: 1ª Via BRANCO - 2ª Via CANÁRIO 
FUROS PARA ARQUIVO: posicionado na margem superior.
NUMERAÇÃO: a ser informada (6 dígitos ao atingir 999999 deverá retornar à 000001)</t>
  </si>
  <si>
    <t>SERRILHA: a 32mm da base da folha.
FUROS PARA ARQUIVO: posicionado na margem esquerda.
NUMERAÇÃO COM 2 POSIÇÕES: a ser informada (6 dígitos ao atingir 999999 deverá retornar à 000001)</t>
  </si>
  <si>
    <t>PAPEL COR: 1ª Via BRANCO – 2ª Via AZUL – 3 Via CANÁRIO
IMPRESSÃO: 1ª Via Pantone Reflex Blue C e demais PRETO.
A numeração terá 6 (seis) dígitos, ao atingir 999999 iniciar nova numeração do 000001.</t>
  </si>
  <si>
    <t>PAPEL COR: 1ª Via BRANCO – 2ª Via CANÁRIO
IMPRESSÃO: 1ª Via Pantone Reflex Blue C e demais PRETO.
A numeração terá 6 (seis) dígitos, ao atingir 999999 iniciar nova numeração do 000001.</t>
  </si>
  <si>
    <t>PAPEL COR: 1ª Via BRANCO – 2ª Via AZUL – 3 Via CANÁRIO
IMPRESSÃO: 1ª Via Pantone Reflex Blue C e demais PRETO.
A numeração terá 6 (seis) dígitos, ao atingir 999999 iniciar nova numeração do 000001.
ATENÇÃO: A primeira via leva fundo repetitivo reticulado a 10% com o SÍMBOLO METRÔ.</t>
  </si>
  <si>
    <t>PAPEL COR: 1ª Via BRANCO – 2ª Via AZUL – 3 Via CANÁRIO
IMPRESSÃO: 1ª Via Pantone Reflex Blue C e demais PRETO.</t>
  </si>
  <si>
    <t>IMPRESSÃO: 1ª Via Pantone Reflex Blue C  e  2ª Via PRETO.</t>
  </si>
  <si>
    <t>Furos para arquivo na esquerda.</t>
  </si>
  <si>
    <t>Numeração com 03 dígitos. Ao atingir 999 retornar a 001.</t>
  </si>
  <si>
    <t>PAPEL COR: 1ª Via Pantone Reflex Blue C     –      2ª Via Cor: Canário
IMPRESSÃO: 1ª Via Pantone Reflex Blue C  e  2ª Via PRETO.
Furos para arquivo na esquerda.
Numeração com 03 dígitos. Ao atingir 999 retornar a 001.</t>
  </si>
  <si>
    <t>A - Papel autocopiativo ou Carbono intercalado para 1º via.   -   2ª Via Cartão 240gr 
B – Cor de Impressão: 1ª Via PRETO / VERMELHO    -   2ª Via PRETO
B - Ilhós metálico centralizado na margem superior, entre a serrilha e a linha de corte, aplicado com reforço de papel nos dois lados e transpassado com barbante de 30 cm, VIDE MODELO.
C - Serrilha da 1ª Via afastada 3 mm do logo e 19 mm da borda superior. Serrilha do canhoto (1ª e 2ª via), a 34mm da borda inferior.
D - Imagens diferenciadas para frente e verso da 1ª via e frente e verso da 2ª via.
E - 1ª Via - Tarja Vermelha na diagonal. (Intensificar ao máximo a cor da tarja, porém, garantindo a legibilidade das informações sob a mesma).</t>
  </si>
  <si>
    <t>CARTÃO DE REPRESENTAÇÃO PADRÃO</t>
  </si>
  <si>
    <t>300gr</t>
  </si>
  <si>
    <t>55x80</t>
  </si>
  <si>
    <t>Colorido</t>
  </si>
  <si>
    <t>CARTÃO DE REPRESENTAÇÃO EXECUTIVO</t>
  </si>
  <si>
    <t>CARTÃO DE REPRESENTAÇÃO BRAILE</t>
  </si>
  <si>
    <t>Preto / Azul Metrô</t>
  </si>
  <si>
    <t>CÓDIGO</t>
  </si>
  <si>
    <t>RS</t>
  </si>
  <si>
    <t>ÁREA</t>
  </si>
  <si>
    <t>SUPORTE</t>
  </si>
  <si>
    <t>1.1.1</t>
  </si>
  <si>
    <t>Sulfite 75g - A3</t>
  </si>
  <si>
    <t>1.1.2</t>
  </si>
  <si>
    <t>Sulfite 75g - A4 ou Ofício</t>
  </si>
  <si>
    <t>1.1.3</t>
  </si>
  <si>
    <t>Sulfite 75g - A5</t>
  </si>
  <si>
    <t>1.1.5</t>
  </si>
  <si>
    <t>Sulfite 75g - A7</t>
  </si>
  <si>
    <t>1.2.1</t>
  </si>
  <si>
    <t>Reciclado 150g - A3</t>
  </si>
  <si>
    <t>ITEM</t>
  </si>
  <si>
    <t>DESCRIÇÃO</t>
  </si>
  <si>
    <t>VALOR</t>
  </si>
  <si>
    <t>QTDE</t>
  </si>
  <si>
    <t>TOTAL</t>
  </si>
  <si>
    <t>1.2.2</t>
  </si>
  <si>
    <t>Reciclado 150g - A4 ou Ofício</t>
  </si>
  <si>
    <t>1.2.3</t>
  </si>
  <si>
    <t>Reciclado 150g - A5</t>
  </si>
  <si>
    <t>1.2.4</t>
  </si>
  <si>
    <t>Reciclado 150g - A6</t>
  </si>
  <si>
    <t>1.3.1</t>
  </si>
  <si>
    <t>Reciclado 240g - A3</t>
  </si>
  <si>
    <t>1.3.2</t>
  </si>
  <si>
    <t>Reciclado 240g - A4 ou Ofício</t>
  </si>
  <si>
    <t>1.3.3</t>
  </si>
  <si>
    <t>Reciclado 240g - A5</t>
  </si>
  <si>
    <t>ENTREGA</t>
  </si>
  <si>
    <t>1.3.4</t>
  </si>
  <si>
    <t>Reciclado 240g - A6</t>
  </si>
  <si>
    <t>CONTATO</t>
  </si>
  <si>
    <t>TELEFONE</t>
  </si>
  <si>
    <t>1.4.2</t>
  </si>
  <si>
    <t>1.4.3</t>
  </si>
  <si>
    <t>1.5.1</t>
  </si>
  <si>
    <t>1.5.2</t>
  </si>
  <si>
    <t>1.5.3</t>
  </si>
  <si>
    <t>1.6.1</t>
  </si>
  <si>
    <t>1.6.2</t>
  </si>
  <si>
    <t>1.6.3</t>
  </si>
  <si>
    <t>1.6.4</t>
  </si>
  <si>
    <t>1.6.5</t>
  </si>
  <si>
    <t>1.6.6</t>
  </si>
  <si>
    <t>1.7.1</t>
  </si>
  <si>
    <t>1.7.2</t>
  </si>
  <si>
    <t>1.7.3</t>
  </si>
  <si>
    <t>1.7.4</t>
  </si>
  <si>
    <t>1.7.5</t>
  </si>
  <si>
    <t>1.8.1</t>
  </si>
  <si>
    <t>Opaline 180g - A3</t>
  </si>
  <si>
    <t>1.8.2</t>
  </si>
  <si>
    <t>Opaline 180g - A4</t>
  </si>
  <si>
    <t>1.8.3</t>
  </si>
  <si>
    <t>Opaline 180g - A5</t>
  </si>
  <si>
    <t>1.9.1</t>
  </si>
  <si>
    <t>Vergê 180g - A3</t>
  </si>
  <si>
    <t>1.9.2</t>
  </si>
  <si>
    <t>Vergê 180g - A4</t>
  </si>
  <si>
    <t>1.9.3</t>
  </si>
  <si>
    <t>Vergê 180g - A5</t>
  </si>
  <si>
    <t>1.10.1</t>
  </si>
  <si>
    <t>Cartão 240g - A2</t>
  </si>
  <si>
    <t>1.10.2</t>
  </si>
  <si>
    <t>Cartão 240g - A3</t>
  </si>
  <si>
    <t>1.10.3</t>
  </si>
  <si>
    <t>Cartão 240g - A4 OU Ofício</t>
  </si>
  <si>
    <t>1.10.4</t>
  </si>
  <si>
    <t>Cartão 240g - A5</t>
  </si>
  <si>
    <t>1.10.5</t>
  </si>
  <si>
    <t>Cartão 240g - A6</t>
  </si>
  <si>
    <t>1.10.6</t>
  </si>
  <si>
    <t>Cartão 240g - A7</t>
  </si>
  <si>
    <t>1.11.1</t>
  </si>
  <si>
    <t>Cartão Triplex 300g - A2</t>
  </si>
  <si>
    <t>1.11.2</t>
  </si>
  <si>
    <t>Cartão Triplex 300g - A3</t>
  </si>
  <si>
    <t>1.11.3</t>
  </si>
  <si>
    <t>Cartão Triplex 300g - A4 ou Ofício</t>
  </si>
  <si>
    <t>1.11.4</t>
  </si>
  <si>
    <t>Cartão Triplex 300g - A5</t>
  </si>
  <si>
    <t>1.11.5</t>
  </si>
  <si>
    <t>Cartão Triplex 300g - A6</t>
  </si>
  <si>
    <t>1.11.6</t>
  </si>
  <si>
    <t>Cartão Triplex 300g - A7</t>
  </si>
  <si>
    <t>1.12.1</t>
  </si>
  <si>
    <t>Colorido na Massa 80g - A3</t>
  </si>
  <si>
    <t>1.12.2</t>
  </si>
  <si>
    <t>Colorido na Massa 80g - A4 ou Ofício</t>
  </si>
  <si>
    <t>1.12.3</t>
  </si>
  <si>
    <t>Colorido na Massa 80g - A5</t>
  </si>
  <si>
    <t>1.13.1</t>
  </si>
  <si>
    <t>Colorido na Massa 150g - A3</t>
  </si>
  <si>
    <t>1.13.2</t>
  </si>
  <si>
    <t>Colorido na Massa 150g - A4 ou Ofício</t>
  </si>
  <si>
    <t>1.13.3</t>
  </si>
  <si>
    <t>Colorido na Massa 150g - A5</t>
  </si>
  <si>
    <t>1.14.1</t>
  </si>
  <si>
    <t>Super Bond 75g - A3</t>
  </si>
  <si>
    <t>1.14.2</t>
  </si>
  <si>
    <t>Super Bond 75g - A4 ou Ofício</t>
  </si>
  <si>
    <t>1.14.3</t>
  </si>
  <si>
    <t>Super Bond 75g - A5</t>
  </si>
  <si>
    <t>1.15.1</t>
  </si>
  <si>
    <t>1.15.2</t>
  </si>
  <si>
    <t>1.15.3</t>
  </si>
  <si>
    <t>1.16.1</t>
  </si>
  <si>
    <t>1.16.2</t>
  </si>
  <si>
    <t>1.16.3</t>
  </si>
  <si>
    <t>1.16.4</t>
  </si>
  <si>
    <t>1.16.5</t>
  </si>
  <si>
    <t>1.17.1</t>
  </si>
  <si>
    <t>Papel Fotográfico Brilho ou Semi Brilho 120g</t>
  </si>
  <si>
    <t>1.17.2</t>
  </si>
  <si>
    <t>Papel Fotográfico Brilho ou Semi Brilho 170g</t>
  </si>
  <si>
    <t>1.17.3</t>
  </si>
  <si>
    <t>Papel Fotográfico Brilho ou Semi Brilho 240g</t>
  </si>
  <si>
    <t>1.18</t>
  </si>
  <si>
    <t>Papel Presentation 180g</t>
  </si>
  <si>
    <t>1.19</t>
  </si>
  <si>
    <t>Lona Vinílica</t>
  </si>
  <si>
    <t>1.20</t>
  </si>
  <si>
    <t>Vinil Adesivo 0,8mm (Transparente ou Branco)</t>
  </si>
  <si>
    <t>2.1.1</t>
  </si>
  <si>
    <t>2.1.2</t>
  </si>
  <si>
    <t>2.2.1</t>
  </si>
  <si>
    <t>2.2.2</t>
  </si>
  <si>
    <t>2.2.3</t>
  </si>
  <si>
    <t>2.3.1</t>
  </si>
  <si>
    <t>2.3.2</t>
  </si>
  <si>
    <t>2.3.3</t>
  </si>
  <si>
    <t>2.3.4</t>
  </si>
  <si>
    <t>2.4.1</t>
  </si>
  <si>
    <t>2.4.2</t>
  </si>
  <si>
    <t>2.4.3</t>
  </si>
  <si>
    <t>2.4.4</t>
  </si>
  <si>
    <t>2.4.5</t>
  </si>
  <si>
    <t>2.5.1</t>
  </si>
  <si>
    <t>2.5.2</t>
  </si>
  <si>
    <t>2.5.3</t>
  </si>
  <si>
    <t>2.5.4</t>
  </si>
  <si>
    <t>2.5.5</t>
  </si>
  <si>
    <t>2.6.1</t>
  </si>
  <si>
    <t>2.6.2</t>
  </si>
  <si>
    <t>2.6.3</t>
  </si>
  <si>
    <t>2.6.4</t>
  </si>
  <si>
    <t>2.6.5</t>
  </si>
  <si>
    <t>2.7.1</t>
  </si>
  <si>
    <t>2.7.2</t>
  </si>
  <si>
    <t>2.7.3</t>
  </si>
  <si>
    <t>2.7.4</t>
  </si>
  <si>
    <t>3.1</t>
  </si>
  <si>
    <t>3.2</t>
  </si>
  <si>
    <t>3.3</t>
  </si>
  <si>
    <t>4.1</t>
  </si>
  <si>
    <t>ACABAMENTOS</t>
  </si>
  <si>
    <t>5.1.1</t>
  </si>
  <si>
    <t>5.1.2</t>
  </si>
  <si>
    <t>Laminação - Produção no tamanho A 3</t>
  </si>
  <si>
    <t>5.1.3</t>
  </si>
  <si>
    <t>Laminação - Produção no tamanho A 4</t>
  </si>
  <si>
    <t>5.1.4</t>
  </si>
  <si>
    <t>Laminação - Produção no tamanho A 5</t>
  </si>
  <si>
    <t>5.1.5</t>
  </si>
  <si>
    <t>Laminação - Produção no tamanho A 6</t>
  </si>
  <si>
    <t>5.1.6</t>
  </si>
  <si>
    <t>Laminação - Produção no tamanho A 7</t>
  </si>
  <si>
    <t>5.2</t>
  </si>
  <si>
    <t>Numeração</t>
  </si>
  <si>
    <t>5.3</t>
  </si>
  <si>
    <t>Corte e Vinco</t>
  </si>
  <si>
    <t>5.4</t>
  </si>
  <si>
    <t>Vinco</t>
  </si>
  <si>
    <t>5.5</t>
  </si>
  <si>
    <t>Dobra - Produção de 1 dobra</t>
  </si>
  <si>
    <t>5.6</t>
  </si>
  <si>
    <t>Faca Especial (Corte e Vinco)</t>
  </si>
  <si>
    <t>5.7</t>
  </si>
  <si>
    <t>Furo para Arquivo (conjunto com 100 Folhas)</t>
  </si>
  <si>
    <t>5.8</t>
  </si>
  <si>
    <t>Serrilha</t>
  </si>
  <si>
    <t>5.9</t>
  </si>
  <si>
    <t>Intercalação de vias</t>
  </si>
  <si>
    <t>5.10</t>
  </si>
  <si>
    <t>Blocagem</t>
  </si>
  <si>
    <t>5.11</t>
  </si>
  <si>
    <t>Adesivação de Verso (Fita dupla Face) 4 pontos</t>
  </si>
  <si>
    <t>5.12</t>
  </si>
  <si>
    <t>Espiral Color (várias cores e espessuras)</t>
  </si>
  <si>
    <t>5.13</t>
  </si>
  <si>
    <t>Wire-o Color (várias cores e espessuras)</t>
  </si>
  <si>
    <t>5.14</t>
  </si>
  <si>
    <t>Capa (PVC, Acetato ou Papel Cartão)</t>
  </si>
  <si>
    <t>5.15</t>
  </si>
  <si>
    <t>Grampagem</t>
  </si>
  <si>
    <t>5.16</t>
  </si>
  <si>
    <t>Encadernação Capa Dura</t>
  </si>
  <si>
    <t>5.17</t>
  </si>
  <si>
    <t>Suporte - Bastão Madeira, Ponteira e Cordão</t>
  </si>
  <si>
    <t>5.18</t>
  </si>
  <si>
    <t>Suporte para banner - Ilhós</t>
  </si>
  <si>
    <t>6.1</t>
  </si>
  <si>
    <t>6.2</t>
  </si>
  <si>
    <t>6.3</t>
  </si>
  <si>
    <t>7.1</t>
  </si>
  <si>
    <t>FI-0016 - Declaração de Depósito de Numerário (Quantidade por lote: 6.600 blocos)</t>
  </si>
  <si>
    <t>7.2</t>
  </si>
  <si>
    <t>FI 0086 - Cartão de Impedimento (Quantidade por lote: 150 peças)</t>
  </si>
  <si>
    <t>7.3</t>
  </si>
  <si>
    <t>FI 0515 - Etiqueta de Componente (Quantidade por lote: 150 peças)</t>
  </si>
  <si>
    <t>COD</t>
  </si>
  <si>
    <r>
      <t>ENDEREÇO</t>
    </r>
    <r>
      <rPr>
        <sz val="10"/>
        <rFont val="Arial"/>
        <family val="2"/>
      </rPr>
      <t> </t>
    </r>
  </si>
  <si>
    <r>
      <t>TIPO</t>
    </r>
    <r>
      <rPr>
        <sz val="10"/>
        <rFont val="Arial"/>
        <family val="2"/>
      </rPr>
      <t> </t>
    </r>
  </si>
  <si>
    <t>CANT ANAROSA</t>
  </si>
  <si>
    <r>
      <t>Canteiro Ana Rosa:</t>
    </r>
    <r>
      <rPr>
        <sz val="10"/>
        <rFont val="Arial"/>
        <family val="2"/>
      </rPr>
      <t xml:space="preserve"> R. Vergueiro, 2.850, Vila Mariana </t>
    </r>
  </si>
  <si>
    <t>CANT GUILHERMINA</t>
  </si>
  <si>
    <r>
      <t>Canteiro Guilhermina:</t>
    </r>
    <r>
      <rPr>
        <sz val="10"/>
        <rFont val="Arial"/>
        <family val="2"/>
      </rPr>
      <t xml:space="preserve"> R. Jaguariaíva, 20, Vila Guilhermina </t>
    </r>
  </si>
  <si>
    <t>CANT IBIRAPUERA</t>
  </si>
  <si>
    <r>
      <t>Canteiro Ibirapuera:</t>
    </r>
    <r>
      <rPr>
        <sz val="10"/>
        <rFont val="Arial"/>
        <family val="2"/>
      </rPr>
      <t>  Av. Ibirapuera, 2.545, Moema </t>
    </r>
  </si>
  <si>
    <t>CANT PARAÍSO</t>
  </si>
  <si>
    <r>
      <t>Canteiro Paraíso:</t>
    </r>
    <r>
      <rPr>
        <sz val="10"/>
        <rFont val="Arial"/>
        <family val="2"/>
      </rPr>
      <t xml:space="preserve"> R. Vergueiro, 1.505, Paraíso </t>
    </r>
  </si>
  <si>
    <r>
      <t>Área Adm. Descentralizada</t>
    </r>
    <r>
      <rPr>
        <sz val="10"/>
        <rFont val="Segoe UI"/>
        <family val="2"/>
      </rPr>
      <t> </t>
    </r>
  </si>
  <si>
    <t>CANT OSCARFREIRE</t>
  </si>
  <si>
    <r>
      <t>Canteiro Oscar Freire:</t>
    </r>
    <r>
      <rPr>
        <sz val="10"/>
        <rFont val="Arial"/>
        <family val="2"/>
      </rPr>
      <t xml:space="preserve"> R. Oscar Freire, 1.239, Jardins </t>
    </r>
  </si>
  <si>
    <t>CANT VILAPRUDENTE</t>
  </si>
  <si>
    <r>
      <t>Canteiro Vila Prudente:</t>
    </r>
    <r>
      <rPr>
        <sz val="10"/>
        <rFont val="Arial"/>
        <family val="2"/>
      </rPr>
      <t xml:space="preserve"> R. Cavour, 156, Vila Prudente </t>
    </r>
  </si>
  <si>
    <r>
      <t>Total: 7 </t>
    </r>
    <r>
      <rPr>
        <sz val="10"/>
        <rFont val="Arial"/>
        <family val="2"/>
      </rPr>
      <t> </t>
    </r>
  </si>
  <si>
    <t>CANT VILASÔNIA</t>
  </si>
  <si>
    <r>
      <t xml:space="preserve">Canteiro Vila Sônia: </t>
    </r>
    <r>
      <rPr>
        <sz val="10"/>
        <rFont val="Arial"/>
        <family val="2"/>
      </rPr>
      <t>R. Mário Dias, 20, Jardim Trussardi </t>
    </r>
  </si>
  <si>
    <t>EDIF CCO</t>
  </si>
  <si>
    <r>
      <t>Edifício CCO:</t>
    </r>
    <r>
      <rPr>
        <sz val="10"/>
        <rFont val="Arial"/>
        <family val="2"/>
      </rPr>
      <t>  Rua Vergueiro, 1200 – Paraíso –  SP </t>
    </r>
  </si>
  <si>
    <r>
      <t>Ed. Administrativos</t>
    </r>
    <r>
      <rPr>
        <sz val="10"/>
        <rFont val="Arial"/>
        <family val="2"/>
      </rPr>
      <t> </t>
    </r>
  </si>
  <si>
    <t>EDIF CID2</t>
  </si>
  <si>
    <r>
      <t>Edifício Cidade II:</t>
    </r>
    <r>
      <rPr>
        <sz val="10"/>
        <rFont val="Arial"/>
        <family val="2"/>
      </rPr>
      <t>  Rua Boa Vista, 175 – Centro – SP </t>
    </r>
  </si>
  <si>
    <r>
      <t>Total: 2</t>
    </r>
    <r>
      <rPr>
        <sz val="10"/>
        <rFont val="Arial"/>
        <family val="2"/>
      </rPr>
      <t> </t>
    </r>
  </si>
  <si>
    <t>PAT EPB</t>
  </si>
  <si>
    <r>
      <t xml:space="preserve">Pátio EPB: </t>
    </r>
    <r>
      <rPr>
        <sz val="10"/>
        <rFont val="Arial"/>
        <family val="2"/>
      </rPr>
      <t>Av. Alcântara Machado, 3.137 Belém </t>
    </r>
  </si>
  <si>
    <t>PAT ITAQUERA</t>
  </si>
  <si>
    <r>
      <t>Pátio Itaquera:</t>
    </r>
    <r>
      <rPr>
        <sz val="10"/>
        <rFont val="Arial"/>
        <family val="2"/>
      </rPr>
      <t xml:space="preserve"> Av. Miguel Inácio Curi, 900 – Itaquera </t>
    </r>
  </si>
  <si>
    <r>
      <t>Pátios de</t>
    </r>
    <r>
      <rPr>
        <sz val="10"/>
        <rFont val="Arial"/>
        <family val="2"/>
      </rPr>
      <t> </t>
    </r>
  </si>
  <si>
    <r>
      <t>Pátio Jabaquara:</t>
    </r>
    <r>
      <rPr>
        <sz val="10"/>
        <rFont val="Arial"/>
        <family val="2"/>
      </rPr>
      <t xml:space="preserve"> Av. Francisco P. Quintanilha Ribeiro, 134 – Jabaquara  </t>
    </r>
  </si>
  <si>
    <r>
      <t>Manutenção</t>
    </r>
    <r>
      <rPr>
        <sz val="10"/>
        <rFont val="Arial"/>
        <family val="2"/>
      </rPr>
      <t> </t>
    </r>
  </si>
  <si>
    <t>PAT ORATORIO</t>
  </si>
  <si>
    <r>
      <t>Pátio Oratório:</t>
    </r>
    <r>
      <rPr>
        <sz val="10"/>
        <rFont val="Arial"/>
        <family val="2"/>
      </rPr>
      <t xml:space="preserve"> Av. Oratório, 1.053  </t>
    </r>
  </si>
  <si>
    <t>PAT TAMANDUATEI</t>
  </si>
  <si>
    <r>
      <t>Pátio Tamanduateí:</t>
    </r>
    <r>
      <rPr>
        <sz val="10"/>
        <rFont val="Arial"/>
        <family val="2"/>
      </rPr>
      <t>  Av. Presidente Wilson, 4801 - Vila Independência  </t>
    </r>
  </si>
  <si>
    <r>
      <t>Total: 5 </t>
    </r>
    <r>
      <rPr>
        <sz val="10"/>
        <rFont val="Arial"/>
        <family val="2"/>
      </rPr>
      <t> </t>
    </r>
  </si>
  <si>
    <r>
      <t>Metroclube Itaquera:</t>
    </r>
    <r>
      <rPr>
        <sz val="10"/>
        <rFont val="Arial"/>
        <family val="2"/>
      </rPr>
      <t>  Av. Miguel Ignácio Curi, 200, Itaquera </t>
    </r>
  </si>
  <si>
    <t>LAZER ITAQUERA</t>
  </si>
  <si>
    <r>
      <t>Metroclubes</t>
    </r>
    <r>
      <rPr>
        <sz val="10"/>
        <rFont val="Arial"/>
        <family val="2"/>
      </rPr>
      <t> </t>
    </r>
  </si>
  <si>
    <t>LAZER JABAQUARA</t>
  </si>
  <si>
    <r>
      <t>Metroclube Jabaquara:</t>
    </r>
    <r>
      <rPr>
        <sz val="10"/>
        <rFont val="Arial"/>
        <family val="2"/>
      </rPr>
      <t xml:space="preserve"> R. das Rolinhas, 208, Jabaquara </t>
    </r>
  </si>
  <si>
    <t>L1 TUC</t>
  </si>
  <si>
    <r>
      <t>L1 – Estação Tucuruvi (TUC):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Doutor Antônio Maria de Laet, 100 </t>
    </r>
  </si>
  <si>
    <t>L1 PIG</t>
  </si>
  <si>
    <r>
      <t>L1 – Estação Parada Inglesa (PIG):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Luiz Dumont Villares, 1.721 </t>
    </r>
  </si>
  <si>
    <t>L1 JPA</t>
  </si>
  <si>
    <r>
      <t>L1 – Estação SP - Ayrton Senna (JPA):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R.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Leôncio de Magalhães, 1.000 </t>
    </r>
  </si>
  <si>
    <t>L1 SAM</t>
  </si>
  <si>
    <r>
      <t>L1 – Estação Santana (SAN):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Cruzeiro do Sul, 3.173 </t>
    </r>
  </si>
  <si>
    <t>L1 CDU</t>
  </si>
  <si>
    <r>
      <t>L1 – Estação Carandiru (CDU):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  </t>
    </r>
    <r>
      <rPr>
        <sz val="10"/>
        <rFont val="Arial"/>
        <family val="2"/>
      </rPr>
      <t>Av. Cruzeiro do Sul, 2.487 </t>
    </r>
  </si>
  <si>
    <t>L1 TTE</t>
  </si>
  <si>
    <r>
      <t>L1 – Estação Portuguesa – Tietê (TTE):</t>
    </r>
    <r>
      <rPr>
        <sz val="10"/>
        <rFont val="Arial"/>
        <family val="2"/>
      </rPr>
      <t> 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Cruzeiro do Sul, 1.777 </t>
    </r>
  </si>
  <si>
    <t>L1 PPQ</t>
  </si>
  <si>
    <r>
      <t>L1 – Estação Armênia (PPQ):</t>
    </r>
    <r>
      <rPr>
        <sz val="10"/>
        <rFont val="Arial"/>
        <family val="2"/>
      </rPr>
      <t>   R. Pedro Vicente, 47 </t>
    </r>
  </si>
  <si>
    <t>L1 TRD</t>
  </si>
  <si>
    <r>
      <t>L1 – Estação Tiradentes (TRD):</t>
    </r>
    <r>
      <rPr>
        <sz val="10"/>
        <rFont val="Arial"/>
        <family val="2"/>
      </rPr>
      <t>   Av. Tiradentes, 551 </t>
    </r>
  </si>
  <si>
    <t>L1 LUZ</t>
  </si>
  <si>
    <r>
      <t>L1 – Estação Luz (LUZ):</t>
    </r>
    <r>
      <rPr>
        <sz val="10"/>
        <rFont val="Arial"/>
        <family val="2"/>
      </rPr>
      <t>  Av. Prestes Maia, 925 </t>
    </r>
  </si>
  <si>
    <t>L1 BTO</t>
  </si>
  <si>
    <r>
      <t>L1 – Estação São Bento (BTO):</t>
    </r>
    <r>
      <rPr>
        <sz val="10"/>
        <rFont val="Arial"/>
        <family val="2"/>
      </rPr>
      <t xml:space="preserve"> Largo São Bento, 109 </t>
    </r>
  </si>
  <si>
    <t>L1 PSE</t>
  </si>
  <si>
    <r>
      <t>L1 – Estação Sé (PSE):</t>
    </r>
    <r>
      <rPr>
        <sz val="10"/>
        <rFont val="Arial"/>
        <family val="2"/>
      </rPr>
      <t xml:space="preserve"> Praça da Sé, s/nº </t>
    </r>
  </si>
  <si>
    <t>L1 LIB</t>
  </si>
  <si>
    <r>
      <t>L1 – Estação Japão - Liberdade (LIB):</t>
    </r>
    <r>
      <rPr>
        <sz val="10"/>
        <rFont val="Arial"/>
        <family val="2"/>
      </rPr>
      <t xml:space="preserve"> Praça da Liberdade, 133 </t>
    </r>
  </si>
  <si>
    <t>L1 JQM</t>
  </si>
  <si>
    <r>
      <t>L1 – Estação São Joaquim (JQM):</t>
    </r>
    <r>
      <rPr>
        <sz val="10"/>
        <rFont val="Arial"/>
        <family val="2"/>
      </rPr>
      <t xml:space="preserve"> Av. Liberdade, 1.033 </t>
    </r>
  </si>
  <si>
    <t>L1 VGO</t>
  </si>
  <si>
    <r>
      <t>L1 – Estação Vergueiro (VGO):</t>
    </r>
    <r>
      <rPr>
        <sz val="10"/>
        <rFont val="Arial"/>
        <family val="2"/>
      </rPr>
      <t xml:space="preserve"> R. Vergueiro, 790 </t>
    </r>
  </si>
  <si>
    <t>L1 PSO</t>
  </si>
  <si>
    <r>
      <t>L1 – Estação Paraíso (PSO):</t>
    </r>
    <r>
      <rPr>
        <sz val="10"/>
        <rFont val="Arial"/>
        <family val="2"/>
      </rPr>
      <t xml:space="preserve"> R. Vergueiro, 1.465 </t>
    </r>
  </si>
  <si>
    <t>L1 ANR</t>
  </si>
  <si>
    <r>
      <t>L1 – Estação Ana Rosa (ANR):</t>
    </r>
    <r>
      <rPr>
        <sz val="10"/>
        <rFont val="Arial"/>
        <family val="2"/>
      </rPr>
      <t xml:space="preserve"> R. Domingos de Morais, 505 </t>
    </r>
  </si>
  <si>
    <t>L1 VMN</t>
  </si>
  <si>
    <r>
      <t>L1 – Estação Vila Mariana (VMN):</t>
    </r>
    <r>
      <rPr>
        <sz val="10"/>
        <rFont val="Arial"/>
        <family val="2"/>
      </rPr>
      <t xml:space="preserve"> Av. Professor Noé Azevedo, 255 </t>
    </r>
  </si>
  <si>
    <t>L1 SCZ</t>
  </si>
  <si>
    <r>
      <t>L1 – Estação Santa Cruz (SCZ):</t>
    </r>
    <r>
      <rPr>
        <sz val="10"/>
        <rFont val="Arial"/>
        <family val="2"/>
      </rPr>
      <t xml:space="preserve"> R. Domingos de Moraes, 2.564 </t>
    </r>
  </si>
  <si>
    <t>L1 ARV</t>
  </si>
  <si>
    <r>
      <t>L1 – Estação Praça da Árvore (ARV):</t>
    </r>
    <r>
      <rPr>
        <sz val="10"/>
        <rFont val="Arial"/>
        <family val="2"/>
      </rPr>
      <t xml:space="preserve"> R.  Praça da Árvore, 39 </t>
    </r>
  </si>
  <si>
    <r>
      <t>Estações</t>
    </r>
    <r>
      <rPr>
        <sz val="10"/>
        <rFont val="Arial"/>
        <family val="2"/>
      </rPr>
      <t> </t>
    </r>
  </si>
  <si>
    <t>L1 SAL</t>
  </si>
  <si>
    <r>
      <t>L1 – Estação Saúde (SAU):</t>
    </r>
    <r>
      <rPr>
        <sz val="10"/>
        <rFont val="Arial"/>
        <family val="2"/>
      </rPr>
      <t xml:space="preserve"> Av. Jabaquara, 1.634 </t>
    </r>
  </si>
  <si>
    <r>
      <t> L1 - Azul</t>
    </r>
    <r>
      <rPr>
        <sz val="10"/>
        <rFont val="Arial"/>
        <family val="2"/>
      </rPr>
      <t> </t>
    </r>
  </si>
  <si>
    <t>L1 JUD</t>
  </si>
  <si>
    <r>
      <t>L1 – Estação São Judas (JUD):</t>
    </r>
    <r>
      <rPr>
        <sz val="10"/>
        <rFont val="Arial"/>
        <family val="2"/>
      </rPr>
      <t xml:space="preserve"> Av. Jabaquara, 2.438 </t>
    </r>
  </si>
  <si>
    <r>
      <t>Total: 23</t>
    </r>
    <r>
      <rPr>
        <sz val="10"/>
        <rFont val="Arial"/>
        <family val="2"/>
      </rPr>
      <t> </t>
    </r>
  </si>
  <si>
    <t>L1 COM</t>
  </si>
  <si>
    <r>
      <t>L1 – Estação Conceição (CON):</t>
    </r>
    <r>
      <rPr>
        <sz val="8"/>
        <rFont val="Arial"/>
        <family val="2"/>
      </rPr>
      <t xml:space="preserve"> </t>
    </r>
    <r>
      <rPr>
        <sz val="10"/>
        <rFont val="Arial"/>
        <family val="2"/>
      </rPr>
      <t>Av. Eng. Armando de Arruda Pereira, 919 </t>
    </r>
  </si>
  <si>
    <t>L1 JAB</t>
  </si>
  <si>
    <r>
      <t>L1 – Estação Jabaquara (JAB):</t>
    </r>
    <r>
      <rPr>
        <sz val="10"/>
        <rFont val="Arial"/>
        <family val="2"/>
      </rPr>
      <t xml:space="preserve"> R. Jequitibás, 80 </t>
    </r>
  </si>
  <si>
    <t>L2 VPT</t>
  </si>
  <si>
    <r>
      <t xml:space="preserve">L2 – Estação Vila Prudente (VPT): </t>
    </r>
    <r>
      <rPr>
        <sz val="10"/>
        <rFont val="Arial"/>
        <family val="2"/>
      </rPr>
      <t>Av. Prof. Luis Inácio de Anhaia Melo, 1.359 </t>
    </r>
  </si>
  <si>
    <t>L2 TTI</t>
  </si>
  <si>
    <r>
      <t xml:space="preserve">L2 – Estação Tamanduateí (TTI): </t>
    </r>
    <r>
      <rPr>
        <sz val="10"/>
        <rFont val="Arial"/>
        <family val="2"/>
      </rPr>
      <t>Av. Presidente Wilson, s/nº (esq. R. Guamiranga) </t>
    </r>
  </si>
  <si>
    <t>L2 SAC</t>
  </si>
  <si>
    <r>
      <t>L2 – Estação Sacomã (SAC):</t>
    </r>
    <r>
      <rPr>
        <sz val="10"/>
        <rFont val="Arial"/>
        <family val="2"/>
      </rPr>
      <t xml:space="preserve"> R. Agostinho Gomes, 3.501 </t>
    </r>
  </si>
  <si>
    <t>L2 AIP</t>
  </si>
  <si>
    <r>
      <t xml:space="preserve">L2 – Estação Alto do Ipiranga (AIP): </t>
    </r>
    <r>
      <rPr>
        <sz val="10"/>
        <rFont val="Arial"/>
        <family val="2"/>
      </rPr>
      <t>Av. Doutor Gentil de Moura, s/nº </t>
    </r>
  </si>
  <si>
    <t>L2 IMG</t>
  </si>
  <si>
    <r>
      <t>L2 – Estação Santos Imigrantes (IMG):</t>
    </r>
    <r>
      <rPr>
        <sz val="10"/>
        <rFont val="Arial"/>
        <family val="2"/>
      </rPr>
      <t xml:space="preserve"> Av. Doutor Ricardo Jafet, s/nº </t>
    </r>
  </si>
  <si>
    <t>L2 CKB</t>
  </si>
  <si>
    <r>
      <t xml:space="preserve">L2 – Estação Chácara Klabin (CKB): </t>
    </r>
    <r>
      <rPr>
        <sz val="10"/>
        <rFont val="Arial"/>
        <family val="2"/>
      </rPr>
      <t>R. Vergueiro, 3.800    </t>
    </r>
  </si>
  <si>
    <t>L2 BGD</t>
  </si>
  <si>
    <r>
      <t>L2 – Estação Brigadeiro (BGD):</t>
    </r>
    <r>
      <rPr>
        <sz val="10"/>
        <rFont val="Arial"/>
        <family val="2"/>
      </rPr>
      <t>   Av. Paulista, s/nº Fte 447 </t>
    </r>
  </si>
  <si>
    <r>
      <t> L2 – Azul</t>
    </r>
    <r>
      <rPr>
        <sz val="10"/>
        <rFont val="Arial"/>
        <family val="2"/>
      </rPr>
      <t> </t>
    </r>
  </si>
  <si>
    <t>L2 TRI</t>
  </si>
  <si>
    <r>
      <t>L2 – Estação Trianon Masp (TRI):</t>
    </r>
    <r>
      <rPr>
        <sz val="10"/>
        <rFont val="Arial"/>
        <family val="2"/>
      </rPr>
      <t>   Av. Paulista, s/nº Fte 1.485 </t>
    </r>
  </si>
  <si>
    <r>
      <t>Total: 12</t>
    </r>
    <r>
      <rPr>
        <sz val="10"/>
        <rFont val="Arial"/>
        <family val="2"/>
      </rPr>
      <t> </t>
    </r>
  </si>
  <si>
    <t>L2 CNS</t>
  </si>
  <si>
    <r>
      <t xml:space="preserve">L2 – Estação Consolação (CNS): </t>
    </r>
    <r>
      <rPr>
        <sz val="10"/>
        <rFont val="Arial"/>
        <family val="2"/>
      </rPr>
      <t>Av. Paulista, s/nº Fte 2.163    </t>
    </r>
  </si>
  <si>
    <t>L2 CLI</t>
  </si>
  <si>
    <r>
      <t xml:space="preserve">L2 – Estação Clínicas (CLI): </t>
    </r>
    <r>
      <rPr>
        <sz val="10"/>
        <rFont val="Arial"/>
        <family val="2"/>
      </rPr>
      <t>Av. Doutor Arnaldo, 555    </t>
    </r>
  </si>
  <si>
    <t>L2 SUM</t>
  </si>
  <si>
    <r>
      <t>L2 – Estação Sumaré – S. N.Sra de Fátima (SUM):</t>
    </r>
    <r>
      <rPr>
        <sz val="10"/>
        <rFont val="Arial"/>
        <family val="2"/>
      </rPr>
      <t>  Av. Doutor Arnaldo, 1.470 </t>
    </r>
  </si>
  <si>
    <t>L2 VMD</t>
  </si>
  <si>
    <r>
      <t>L2 – Estação Vila Madalena (VMD):</t>
    </r>
    <r>
      <rPr>
        <sz val="10"/>
        <rFont val="Arial"/>
        <family val="2"/>
      </rPr>
      <t>  Praça Américo Jacomino, 30 </t>
    </r>
  </si>
  <si>
    <t>L3 BFU</t>
  </si>
  <si>
    <r>
      <t>L3 – Estação Palmeiras – Barra Funda (BFU):</t>
    </r>
    <r>
      <rPr>
        <sz val="10"/>
        <rFont val="Arial"/>
        <family val="2"/>
      </rPr>
      <t>   R. Bento Teobaldo Ferraz, 119 </t>
    </r>
  </si>
  <si>
    <t>L3 DEO</t>
  </si>
  <si>
    <r>
      <t>L3 – Estação Marechal Deodoro (DEO):</t>
    </r>
    <r>
      <rPr>
        <sz val="10"/>
        <rFont val="Arial"/>
        <family val="2"/>
      </rPr>
      <t>    Praça Marechal Deodoro, s/nº </t>
    </r>
  </si>
  <si>
    <t>L3 CEC</t>
  </si>
  <si>
    <r>
      <t>L3 – Estação Santa Cecília (CEC): </t>
    </r>
    <r>
      <rPr>
        <sz val="10"/>
        <rFont val="Arial"/>
        <family val="2"/>
      </rPr>
      <t xml:space="preserve"> Largo Santa Cecília, s/nº    </t>
    </r>
  </si>
  <si>
    <t>L3 REP</t>
  </si>
  <si>
    <r>
      <t>L3 – Estação República (REP): </t>
    </r>
    <r>
      <rPr>
        <sz val="10"/>
        <rFont val="Arial"/>
        <family val="2"/>
      </rPr>
      <t xml:space="preserve"> R. Do Arouche, 24 </t>
    </r>
  </si>
  <si>
    <t>L3 GBU</t>
  </si>
  <si>
    <r>
      <t>L3 – Estação Anhangabaú (GBU):</t>
    </r>
    <r>
      <rPr>
        <sz val="10"/>
        <rFont val="Arial"/>
        <family val="2"/>
      </rPr>
      <t>   R. Formosa, s/nº </t>
    </r>
  </si>
  <si>
    <t>L3 PDS</t>
  </si>
  <si>
    <r>
      <t>L3 – Estação Pedro II (PDS):</t>
    </r>
    <r>
      <rPr>
        <sz val="10"/>
        <rFont val="Arial"/>
        <family val="2"/>
      </rPr>
      <t xml:space="preserve"> R. Da Figueira, s/nº </t>
    </r>
  </si>
  <si>
    <t>L3 BAS</t>
  </si>
  <si>
    <r>
      <t>L3 – Estação Brás (BAS)</t>
    </r>
    <r>
      <rPr>
        <sz val="10"/>
        <rFont val="Arial"/>
        <family val="2"/>
      </rPr>
      <t>:  R. Domingos Paiva, s/nº </t>
    </r>
  </si>
  <si>
    <t>L3 BRE</t>
  </si>
  <si>
    <r>
      <t>L3 – Estação Bresser – Mooca (BRE):</t>
    </r>
    <r>
      <rPr>
        <sz val="10"/>
        <rFont val="Arial"/>
        <family val="2"/>
      </rPr>
      <t>  R. Do Hipódromo, 675 </t>
    </r>
  </si>
  <si>
    <t>L3 BEL</t>
  </si>
  <si>
    <r>
      <t>L3 – Estação Belém (BEL): </t>
    </r>
    <r>
      <rPr>
        <sz val="10"/>
        <rFont val="Arial"/>
        <family val="2"/>
      </rPr>
      <t xml:space="preserve"> Av. Alcântara Machado, s/nº    </t>
    </r>
  </si>
  <si>
    <t>L3 TAT</t>
  </si>
  <si>
    <r>
      <t>L3 – Estação Tatuapé (TAT):</t>
    </r>
    <r>
      <rPr>
        <sz val="10"/>
        <rFont val="Arial"/>
        <family val="2"/>
      </rPr>
      <t xml:space="preserve"> Av. Melo Freire, s/nº (esq. R. Tuiuti)   </t>
    </r>
  </si>
  <si>
    <t>L3 CAR</t>
  </si>
  <si>
    <r>
      <t>L3 – Estação Carrão (CAR): </t>
    </r>
    <r>
      <rPr>
        <sz val="10"/>
        <rFont val="Arial"/>
        <family val="2"/>
      </rPr>
      <t xml:space="preserve"> Av. Radial Leste, s/nº (esq. R. Apucarana)   </t>
    </r>
  </si>
  <si>
    <t>L3 PEN</t>
  </si>
  <si>
    <r>
      <t>L3 – Estação Penha (PEN):</t>
    </r>
    <r>
      <rPr>
        <sz val="10"/>
        <rFont val="Arial"/>
        <family val="2"/>
      </rPr>
      <t xml:space="preserve"> Av. Conde de Frontin, s/nº </t>
    </r>
  </si>
  <si>
    <t>L3 VTD</t>
  </si>
  <si>
    <r>
      <t>L3 – Estação Vila Matilde (VTD): </t>
    </r>
    <r>
      <rPr>
        <sz val="10"/>
        <rFont val="Arial"/>
        <family val="2"/>
      </rPr>
      <t xml:space="preserve"> R. Coronel Pedro Dias de Campos, 1.173    </t>
    </r>
  </si>
  <si>
    <t>L3 VPA</t>
  </si>
  <si>
    <r>
      <t xml:space="preserve">L3 – Estação Guilhermina Esperança (VPA): </t>
    </r>
    <r>
      <rPr>
        <sz val="10"/>
        <rFont val="Arial"/>
        <family val="2"/>
      </rPr>
      <t>R. Astorga, 800    </t>
    </r>
  </si>
  <si>
    <r>
      <t>Estações L3 – Vermelha</t>
    </r>
    <r>
      <rPr>
        <sz val="10"/>
        <rFont val="Arial"/>
        <family val="2"/>
      </rPr>
      <t> </t>
    </r>
  </si>
  <si>
    <t>L3 PCA</t>
  </si>
  <si>
    <r>
      <t>L3 – Estação Patriarca (PCA): </t>
    </r>
    <r>
      <rPr>
        <sz val="10"/>
        <rFont val="Arial"/>
        <family val="2"/>
      </rPr>
      <t>  Av. Antônio Estevão de Carvalho, 1.990 </t>
    </r>
  </si>
  <si>
    <r>
      <t>Total: 17</t>
    </r>
    <r>
      <rPr>
        <sz val="10"/>
        <rFont val="Arial"/>
        <family val="2"/>
      </rPr>
      <t> </t>
    </r>
  </si>
  <si>
    <t>L3 ART</t>
  </si>
  <si>
    <r>
      <t xml:space="preserve">L3 – Estação Artur Alvim (ART): </t>
    </r>
    <r>
      <rPr>
        <sz val="10"/>
        <rFont val="Arial"/>
        <family val="2"/>
      </rPr>
      <t>R. Doutor Luiz Ayres, 1.800 </t>
    </r>
  </si>
  <si>
    <t>L3 ITQ</t>
  </si>
  <si>
    <r>
      <t>L3 – Estação Corinthians - Itaquera (ITQ): </t>
    </r>
    <r>
      <rPr>
        <sz val="10"/>
        <rFont val="Arial"/>
        <family val="2"/>
      </rPr>
      <t xml:space="preserve"> Av. Projetada, 1.900 </t>
    </r>
  </si>
  <si>
    <t>L15 VILAPRUDENTE</t>
  </si>
  <si>
    <r>
      <t xml:space="preserve">L15 – Estação Vila Prudente – </t>
    </r>
    <r>
      <rPr>
        <sz val="10"/>
        <rFont val="Arial"/>
        <family val="2"/>
      </rPr>
      <t>Av. Professor Luiz Ignácio Anhaia Mello, 1359 </t>
    </r>
  </si>
  <si>
    <t>L15 ORATORIO</t>
  </si>
  <si>
    <r>
      <t xml:space="preserve">L15 – Estação Oratório – </t>
    </r>
    <r>
      <rPr>
        <sz val="10"/>
        <rFont val="Arial"/>
        <family val="2"/>
      </rPr>
      <t>Av. Professor Luiz Ignácio Anhaia Mello, 3250 </t>
    </r>
  </si>
  <si>
    <t>L15 SAOLUCAS</t>
  </si>
  <si>
    <r>
      <t xml:space="preserve">L15 – Estação São Lucas - </t>
    </r>
    <r>
      <rPr>
        <sz val="10"/>
        <rFont val="Arial"/>
        <family val="2"/>
      </rPr>
      <t>Av. Professor Luiz Ignácio Anhaia Mello, 5345 </t>
    </r>
  </si>
  <si>
    <t>L15 CAMILOHADDAD</t>
  </si>
  <si>
    <r>
      <t xml:space="preserve">L15 – Estação Camilo Haddad - </t>
    </r>
    <r>
      <rPr>
        <sz val="10"/>
        <rFont val="Arial"/>
        <family val="2"/>
      </rPr>
      <t>Av. Professor Luiz Ignácio Anhaia Mello, 6620 </t>
    </r>
  </si>
  <si>
    <t>L15 VILATOLSTOI</t>
  </si>
  <si>
    <r>
      <t xml:space="preserve">L15 – Estação Vila Tolstoi - </t>
    </r>
    <r>
      <rPr>
        <sz val="10"/>
        <rFont val="Arial"/>
        <family val="2"/>
      </rPr>
      <t>Av. Professor Luiz Ignácio Anhaia Mello, 7712 </t>
    </r>
  </si>
  <si>
    <r>
      <t>Estações L15 – Prata (Monotrilho)</t>
    </r>
    <r>
      <rPr>
        <sz val="10"/>
        <rFont val="Arial"/>
        <family val="2"/>
      </rPr>
      <t> </t>
    </r>
  </si>
  <si>
    <t>L15 VILAUNIAO</t>
  </si>
  <si>
    <r>
      <t xml:space="preserve">L15 – Estação Vila União - </t>
    </r>
    <r>
      <rPr>
        <sz val="10"/>
        <rFont val="Arial"/>
        <family val="2"/>
      </rPr>
      <t>Av. Professor Luiz Ignácio Anhaia Mello, 9109 </t>
    </r>
  </si>
  <si>
    <r>
      <t>Total: 10</t>
    </r>
    <r>
      <rPr>
        <sz val="10"/>
        <rFont val="Arial"/>
        <family val="2"/>
      </rPr>
      <t> </t>
    </r>
  </si>
  <si>
    <t>L15 JARDIMPLANALTO</t>
  </si>
  <si>
    <r>
      <t xml:space="preserve">L15 – Estação Jardim Planalto – </t>
    </r>
    <r>
      <rPr>
        <sz val="10"/>
        <rFont val="Arial"/>
        <family val="2"/>
      </rPr>
      <t>Av. Sapopemba, 9930 </t>
    </r>
  </si>
  <si>
    <t>L15 – SAPOPEMBA</t>
  </si>
  <si>
    <r>
      <t>L15 – Estação Sapopemba –</t>
    </r>
    <r>
      <rPr>
        <sz val="10"/>
        <rFont val="Arial"/>
        <family val="2"/>
      </rPr>
      <t xml:space="preserve"> Terminal Sapopemba, 7.010 </t>
    </r>
  </si>
  <si>
    <t>L15 FAZENDAJUTA</t>
  </si>
  <si>
    <r>
      <t xml:space="preserve">L15 – Estação Fazenda da Juta - </t>
    </r>
    <r>
      <rPr>
        <sz val="10"/>
        <rFont val="Arial"/>
        <family val="2"/>
      </rPr>
      <t>Av. Sapopemba, 12.780 </t>
    </r>
  </si>
  <si>
    <t>L15 SAOMATEUS</t>
  </si>
  <si>
    <r>
      <t xml:space="preserve">L15 – Estação São Mateus - </t>
    </r>
    <r>
      <rPr>
        <sz val="10"/>
        <rFont val="Arial"/>
        <family val="2"/>
      </rPr>
      <t>Av. Sapopemba, 1500 </t>
    </r>
  </si>
  <si>
    <t>BASE L1 PSO CCV</t>
  </si>
  <si>
    <r>
      <t>Base L1 – CCV (PSO):</t>
    </r>
    <r>
      <rPr>
        <sz val="10"/>
        <rFont val="Arial"/>
        <family val="2"/>
      </rPr>
      <t>  R. Vergueiro, 1.465 </t>
    </r>
  </si>
  <si>
    <t>BASE L1 SAL CCV</t>
  </si>
  <si>
    <r>
      <t>Base L1 – CCV (SAU):</t>
    </r>
    <r>
      <rPr>
        <sz val="10"/>
        <rFont val="Arial"/>
        <family val="2"/>
      </rPr>
      <t>    Av. Jabaquara, 1.634 </t>
    </r>
  </si>
  <si>
    <t>BASE L1 PPQ CCV</t>
  </si>
  <si>
    <r>
      <t>Base L1 – CCV (PPQ):</t>
    </r>
    <r>
      <rPr>
        <sz val="10"/>
        <rFont val="Arial"/>
        <family val="2"/>
      </rPr>
      <t xml:space="preserve"> R. Edmundo Velloso, s/nº (Fazendinha) </t>
    </r>
  </si>
  <si>
    <t>BASE L1 PAT BL-P CSA</t>
  </si>
  <si>
    <r>
      <t>Base L1 – CSA (PAT – Bloco P):</t>
    </r>
    <r>
      <rPr>
        <sz val="10"/>
        <rFont val="Arial"/>
        <family val="2"/>
      </rPr>
      <t xml:space="preserve"> Praça Padre José Conceição Meireles, 50 </t>
    </r>
  </si>
  <si>
    <t>BASE L1 LUZ EMN</t>
  </si>
  <si>
    <r>
      <t>Base L1 – EMN (LUZ):</t>
    </r>
    <r>
      <rPr>
        <sz val="10"/>
        <rFont val="Arial"/>
        <family val="2"/>
      </rPr>
      <t xml:space="preserve"> Av. Prestes Maia, 925 </t>
    </r>
  </si>
  <si>
    <t>BASE L1 VGO EMN</t>
  </si>
  <si>
    <r>
      <t>Base L1 – EMN (VGO):</t>
    </r>
    <r>
      <rPr>
        <sz val="10"/>
        <rFont val="Arial"/>
        <family val="2"/>
      </rPr>
      <t xml:space="preserve"> R. Vergueiro, 790 </t>
    </r>
  </si>
  <si>
    <t>BASE L1 VMN EMN</t>
  </si>
  <si>
    <r>
      <t>Base L1 – EMN (VMN):</t>
    </r>
    <r>
      <rPr>
        <sz val="10"/>
        <rFont val="Arial"/>
        <family val="2"/>
      </rPr>
      <t>   Av. Professor Noé Azevedo, 255 </t>
    </r>
  </si>
  <si>
    <t>Base L1 ANR ENC</t>
  </si>
  <si>
    <r>
      <t>Base L1 – ENC (ANR):</t>
    </r>
    <r>
      <rPr>
        <sz val="10"/>
        <rFont val="Arial"/>
        <family val="2"/>
      </rPr>
      <t>  R. Domingos de Morais, 505 </t>
    </r>
  </si>
  <si>
    <t>Base L1 PSO REN</t>
  </si>
  <si>
    <r>
      <t>Base L1 – REN (PSO):</t>
    </r>
    <r>
      <rPr>
        <sz val="10"/>
        <rFont val="Arial"/>
        <family val="2"/>
      </rPr>
      <t>  R. Vergueiro, 1.465 </t>
    </r>
  </si>
  <si>
    <t>Base L1 TRD REN</t>
  </si>
  <si>
    <r>
      <t>Base L1 – REN (TRD):</t>
    </r>
    <r>
      <rPr>
        <sz val="10"/>
        <rFont val="Arial"/>
        <family val="2"/>
      </rPr>
      <t>  Av. Tiradentes, 551 </t>
    </r>
  </si>
  <si>
    <r>
      <t>Base L1 – Azul</t>
    </r>
    <r>
      <rPr>
        <sz val="10"/>
        <rFont val="Arial"/>
        <family val="2"/>
      </rPr>
      <t> </t>
    </r>
  </si>
  <si>
    <t>Base L1 TUC REN</t>
  </si>
  <si>
    <r>
      <t>Base L1 – REN (TUC):</t>
    </r>
    <r>
      <rPr>
        <sz val="10"/>
        <rFont val="Arial"/>
        <family val="2"/>
      </rPr>
      <t>  Av. Dr. Antônio Maria de Laet, 100 </t>
    </r>
  </si>
  <si>
    <r>
      <t>       Total: 12</t>
    </r>
    <r>
      <rPr>
        <sz val="10"/>
        <rFont val="Arial"/>
        <family val="2"/>
      </rPr>
      <t> </t>
    </r>
  </si>
  <si>
    <t>BASE L1 PSO VPN</t>
  </si>
  <si>
    <r>
      <t>Base L1 – VPN (PSO):</t>
    </r>
    <r>
      <rPr>
        <sz val="10"/>
        <rFont val="Arial"/>
        <family val="2"/>
      </rPr>
      <t xml:space="preserve"> R. Vergueiro, 1.465 </t>
    </r>
  </si>
  <si>
    <t>Base L2 IMG CCV</t>
  </si>
  <si>
    <r>
      <t>Base L2 – CCV (IMG):</t>
    </r>
    <r>
      <rPr>
        <sz val="10"/>
        <rFont val="Arial"/>
        <family val="2"/>
      </rPr>
      <t xml:space="preserve"> R. Saioá, 1.320 </t>
    </r>
  </si>
  <si>
    <t>BASE L2 LUM CCV</t>
  </si>
  <si>
    <r>
      <t>Base L2 – CCV (LUM):</t>
    </r>
    <r>
      <rPr>
        <sz val="10"/>
        <rFont val="Arial"/>
        <family val="2"/>
      </rPr>
      <t xml:space="preserve"> R. Heitor Penteado, 913 </t>
    </r>
  </si>
  <si>
    <t>Base L2 IMG EMN</t>
  </si>
  <si>
    <r>
      <t>Base L2 – EMN (IMG):</t>
    </r>
    <r>
      <rPr>
        <sz val="10"/>
        <rFont val="Arial"/>
        <family val="2"/>
      </rPr>
      <t>  R. Saioá, 1.320 </t>
    </r>
  </si>
  <si>
    <t>BASE L2  LUM EMN</t>
  </si>
  <si>
    <r>
      <t>Base L2 – EMN (LUM):</t>
    </r>
    <r>
      <rPr>
        <sz val="10"/>
        <rFont val="Arial"/>
        <family val="2"/>
      </rPr>
      <t xml:space="preserve"> R. Heitor Penteado, 913 </t>
    </r>
  </si>
  <si>
    <t>BASE L2  IMG REN</t>
  </si>
  <si>
    <r>
      <t>Base L2 – REN (IMG):</t>
    </r>
    <r>
      <rPr>
        <sz val="10"/>
        <rFont val="Arial"/>
        <family val="2"/>
      </rPr>
      <t>   R. Saioá, 1.320 </t>
    </r>
  </si>
  <si>
    <t>BASE L2 LUM REN</t>
  </si>
  <si>
    <r>
      <t>Base L2 – REN (LUM):</t>
    </r>
    <r>
      <rPr>
        <sz val="10"/>
        <rFont val="Arial"/>
        <family val="2"/>
      </rPr>
      <t xml:space="preserve"> R. Heitor Penteado, 913 </t>
    </r>
  </si>
  <si>
    <r>
      <t>Base L2 - Verde</t>
    </r>
    <r>
      <rPr>
        <sz val="10"/>
        <rFont val="Arial"/>
        <family val="2"/>
      </rPr>
      <t> </t>
    </r>
  </si>
  <si>
    <t>BASE L2 PSO VPN</t>
  </si>
  <si>
    <r>
      <t>Base L2 – VPN (PSO):</t>
    </r>
    <r>
      <rPr>
        <sz val="10"/>
        <rFont val="Arial"/>
        <family val="2"/>
      </rPr>
      <t>  R. Vergueiro, 1.465 </t>
    </r>
  </si>
  <si>
    <r>
      <t>Total: 7</t>
    </r>
    <r>
      <rPr>
        <sz val="10"/>
        <rFont val="Arial"/>
        <family val="2"/>
      </rPr>
      <t> </t>
    </r>
  </si>
  <si>
    <t>BASE L3 PCA CCV</t>
  </si>
  <si>
    <r>
      <t>Base L3 – CCV (PCA):</t>
    </r>
    <r>
      <rPr>
        <sz val="10"/>
        <rFont val="Arial"/>
        <family val="2"/>
      </rPr>
      <t xml:space="preserve"> Av. Antônio Estevão de Carvalho, 1.990 </t>
    </r>
  </si>
  <si>
    <t>BASE L3 BFU EML</t>
  </si>
  <si>
    <r>
      <t>Base L3 – EML (BFU):</t>
    </r>
    <r>
      <rPr>
        <sz val="10"/>
        <rFont val="Arial"/>
        <family val="2"/>
      </rPr>
      <t>  R. Bento Teobaldo Ferraz, 119 </t>
    </r>
  </si>
  <si>
    <r>
      <t>Bases L3 – Vermelha</t>
    </r>
    <r>
      <rPr>
        <sz val="10"/>
        <rFont val="Arial"/>
        <family val="2"/>
      </rPr>
      <t> </t>
    </r>
  </si>
  <si>
    <t>BASE L3 REP EML</t>
  </si>
  <si>
    <r>
      <t>Base L3 – EML (REP):</t>
    </r>
    <r>
      <rPr>
        <sz val="10"/>
        <rFont val="Arial"/>
        <family val="2"/>
      </rPr>
      <t xml:space="preserve"> R. Do Arouche, 24 </t>
    </r>
  </si>
  <si>
    <r>
      <t>Total: 5</t>
    </r>
    <r>
      <rPr>
        <sz val="10"/>
        <rFont val="Arial"/>
        <family val="2"/>
      </rPr>
      <t> </t>
    </r>
  </si>
  <si>
    <t>BASE L3 BFU REL</t>
  </si>
  <si>
    <r>
      <t>Base L3 – REL (BFU):</t>
    </r>
    <r>
      <rPr>
        <sz val="10"/>
        <rFont val="Arial"/>
        <family val="2"/>
      </rPr>
      <t xml:space="preserve"> R. Bento Teobaldo Ferraz, 119 </t>
    </r>
  </si>
  <si>
    <t>BASE L3 VTD REL</t>
  </si>
  <si>
    <r>
      <t>Base L3 – REL (VTD):</t>
    </r>
    <r>
      <rPr>
        <sz val="10"/>
        <rFont val="Arial"/>
        <family val="2"/>
      </rPr>
      <t>  R. Coronel Pedro Dias de Campos, 1.173 </t>
    </r>
  </si>
  <si>
    <t>PLANILHA DE SERVIÇOS E PREÇOS - CONTRATO Nº 1001727101</t>
  </si>
  <si>
    <t>GRÁFICA PRINT CENTER EIRELI - EPP</t>
  </si>
  <si>
    <t>DATA BASE REAJUSTE</t>
  </si>
  <si>
    <t xml:space="preserve">       PREÇOS EM REAIS</t>
  </si>
  <si>
    <t>CONTROLE DO SALDO DO CONTRATO</t>
  </si>
  <si>
    <t>REAJUSTES</t>
  </si>
  <si>
    <t xml:space="preserve"> PARA 24</t>
  </si>
  <si>
    <t>UNID.</t>
  </si>
  <si>
    <t>REAJUSTE</t>
  </si>
  <si>
    <t>Primeiro</t>
  </si>
  <si>
    <t>Segundo</t>
  </si>
  <si>
    <t>MESES</t>
  </si>
  <si>
    <t>UNITÁRIO</t>
  </si>
  <si>
    <t>VALOR P0</t>
  </si>
  <si>
    <t>VALOR PC1</t>
  </si>
  <si>
    <t>VALOR PC2</t>
  </si>
  <si>
    <t>folha</t>
  </si>
  <si>
    <t>1.1.4</t>
  </si>
  <si>
    <t>Sulfite 75g - A6</t>
  </si>
  <si>
    <t>1.4.1</t>
  </si>
  <si>
    <t>m²</t>
  </si>
  <si>
    <t>cópia</t>
  </si>
  <si>
    <t>unidade</t>
  </si>
  <si>
    <t>peça</t>
  </si>
  <si>
    <t>conjunto</t>
  </si>
  <si>
    <t>lote</t>
  </si>
  <si>
    <t>VALOR TOTAL (R$)</t>
  </si>
  <si>
    <t>DATA ENTREGA</t>
  </si>
  <si>
    <t>DATA</t>
  </si>
  <si>
    <t>NÚMERO</t>
  </si>
  <si>
    <t>ESPECIFICAÇÃO DOS SERVIÇOS</t>
  </si>
  <si>
    <t>FRENTE/VERSO</t>
  </si>
  <si>
    <t>FURO PARA ARQUIVO</t>
  </si>
  <si>
    <t>PROVA GRÁFICA</t>
  </si>
  <si>
    <t>MODELO</t>
  </si>
  <si>
    <t>VERNIZ</t>
  </si>
  <si>
    <t>PLASTIFICAÇÃO</t>
  </si>
  <si>
    <t>FACA ESPECIAL</t>
  </si>
  <si>
    <t>INTERCALAÇÃO</t>
  </si>
  <si>
    <t>DUPLA FACE</t>
  </si>
  <si>
    <t>ESPIRAL</t>
  </si>
  <si>
    <t>WIRE-O</t>
  </si>
  <si>
    <t>CAPA</t>
  </si>
  <si>
    <t>GRAMPO</t>
  </si>
  <si>
    <t>HOLTMET</t>
  </si>
  <si>
    <t>ENCADERNAÇÃO</t>
  </si>
  <si>
    <t>SUPORTE BANNER</t>
  </si>
  <si>
    <t>ITEM CONTRATUAIS</t>
  </si>
  <si>
    <t>ENDEREÇO</t>
  </si>
  <si>
    <t xml:space="preserve">VALOR DOS SERVIÇOS    </t>
  </si>
  <si>
    <t>DIMENSÃO</t>
  </si>
  <si>
    <t>COR DE IMPRESSÃO</t>
  </si>
  <si>
    <t>MARGEM ESQUERDA</t>
  </si>
  <si>
    <t>MARGEM DIREITA</t>
  </si>
  <si>
    <t>MARGEM SUPERIOR</t>
  </si>
  <si>
    <t>MARGEM INFERIOR</t>
  </si>
  <si>
    <t>COMPLEMENTO</t>
  </si>
  <si>
    <t>PAT JABAQUARA</t>
  </si>
  <si>
    <t>LOCAL</t>
  </si>
  <si>
    <t>LOTE 50</t>
  </si>
  <si>
    <t>FD-0004</t>
  </si>
  <si>
    <t>FD-0007</t>
  </si>
  <si>
    <t>FD-0008</t>
  </si>
  <si>
    <t>FD-0015</t>
  </si>
  <si>
    <t>FI-0016</t>
  </si>
  <si>
    <t>FD-0021</t>
  </si>
  <si>
    <t>FD-0022</t>
  </si>
  <si>
    <t>FD-0023</t>
  </si>
  <si>
    <t>FI-0024</t>
  </si>
  <si>
    <t>FD-0025</t>
  </si>
  <si>
    <t>FD-0027</t>
  </si>
  <si>
    <t>FD-0030</t>
  </si>
  <si>
    <t>FD-0033</t>
  </si>
  <si>
    <t>FI-0036</t>
  </si>
  <si>
    <t>FI-0038</t>
  </si>
  <si>
    <t>FI-0039</t>
  </si>
  <si>
    <t>FI-0040</t>
  </si>
  <si>
    <t>FI-0042</t>
  </si>
  <si>
    <t>FI-0043</t>
  </si>
  <si>
    <t>FI-0044</t>
  </si>
  <si>
    <t>FD-0045</t>
  </si>
  <si>
    <t>FD-0046</t>
  </si>
  <si>
    <t>FD-0048</t>
  </si>
  <si>
    <t>FI-0049</t>
  </si>
  <si>
    <t>FD-0057</t>
  </si>
  <si>
    <t>FD-0058</t>
  </si>
  <si>
    <t>FD-0059</t>
  </si>
  <si>
    <t>FD-0066</t>
  </si>
  <si>
    <t>FI-0070</t>
  </si>
  <si>
    <t>FI-0073</t>
  </si>
  <si>
    <t>FI-0081</t>
  </si>
  <si>
    <t>FD-0084</t>
  </si>
  <si>
    <t>FI-0085</t>
  </si>
  <si>
    <t>FI-0086</t>
  </si>
  <si>
    <t>FD-0103</t>
  </si>
  <si>
    <t>FD-0116</t>
  </si>
  <si>
    <t>FI-0119</t>
  </si>
  <si>
    <t>FI-0127</t>
  </si>
  <si>
    <t>FD-0128</t>
  </si>
  <si>
    <t>FI-0130</t>
  </si>
  <si>
    <t>FD-0139</t>
  </si>
  <si>
    <t>FD-0141</t>
  </si>
  <si>
    <t>FD-0145</t>
  </si>
  <si>
    <t>FD-0146</t>
  </si>
  <si>
    <t>FI-0148</t>
  </si>
  <si>
    <t>FI-0150</t>
  </si>
  <si>
    <t>FD-0151</t>
  </si>
  <si>
    <t>FD-0153</t>
  </si>
  <si>
    <t>FD-0157</t>
  </si>
  <si>
    <t>FD-0160</t>
  </si>
  <si>
    <t>FI-0161</t>
  </si>
  <si>
    <t>FD-0163</t>
  </si>
  <si>
    <t>FI-0168</t>
  </si>
  <si>
    <t>FI-0174</t>
  </si>
  <si>
    <t>FD-0180</t>
  </si>
  <si>
    <t>FD-0190</t>
  </si>
  <si>
    <t>FD-0191</t>
  </si>
  <si>
    <t>FD-0194</t>
  </si>
  <si>
    <t>FD-0196</t>
  </si>
  <si>
    <t>FD-0197</t>
  </si>
  <si>
    <t>FD-0198</t>
  </si>
  <si>
    <t>FD-0200</t>
  </si>
  <si>
    <t>FD-0207</t>
  </si>
  <si>
    <t>FD-0209</t>
  </si>
  <si>
    <t>FD-0212</t>
  </si>
  <si>
    <t>FD-0213</t>
  </si>
  <si>
    <t>FD-0214</t>
  </si>
  <si>
    <t>FD-0215</t>
  </si>
  <si>
    <t>FD-0217</t>
  </si>
  <si>
    <t>FI-0221</t>
  </si>
  <si>
    <t>FI-0225</t>
  </si>
  <si>
    <t>FD-0227</t>
  </si>
  <si>
    <t>FI-0236</t>
  </si>
  <si>
    <t>FI-0237</t>
  </si>
  <si>
    <t>FD-0238</t>
  </si>
  <si>
    <t>FD-0239</t>
  </si>
  <si>
    <t>FD-0241</t>
  </si>
  <si>
    <t>FI-0242</t>
  </si>
  <si>
    <t>FD-0243</t>
  </si>
  <si>
    <t>FD-0245</t>
  </si>
  <si>
    <t>FI-0247</t>
  </si>
  <si>
    <t>FD-0252</t>
  </si>
  <si>
    <t>FD-0257</t>
  </si>
  <si>
    <t>FD-0258</t>
  </si>
  <si>
    <t>FD-0262</t>
  </si>
  <si>
    <t>FD-0263</t>
  </si>
  <si>
    <t>FD-0267</t>
  </si>
  <si>
    <t>FD-0269</t>
  </si>
  <si>
    <t>FD-0277</t>
  </si>
  <si>
    <t>FD-0280</t>
  </si>
  <si>
    <t>FD-0281</t>
  </si>
  <si>
    <t>FD-0282</t>
  </si>
  <si>
    <t>FD-0287</t>
  </si>
  <si>
    <t>FD-0289</t>
  </si>
  <si>
    <t>FD-0294</t>
  </si>
  <si>
    <t>FD-0295</t>
  </si>
  <si>
    <t>FI-0297</t>
  </si>
  <si>
    <t>FD-0298</t>
  </si>
  <si>
    <t>FD-0299</t>
  </si>
  <si>
    <t>FI-0300</t>
  </si>
  <si>
    <t>FD-0304</t>
  </si>
  <si>
    <t>FD-0305</t>
  </si>
  <si>
    <t>FD-0306</t>
  </si>
  <si>
    <t>FD-0309</t>
  </si>
  <si>
    <t>FD-0312</t>
  </si>
  <si>
    <t>FI-0315</t>
  </si>
  <si>
    <t>FD-0316</t>
  </si>
  <si>
    <t>FD-0323</t>
  </si>
  <si>
    <t>FD-0328</t>
  </si>
  <si>
    <t>FD-0329</t>
  </si>
  <si>
    <t>FD-0331</t>
  </si>
  <si>
    <t>FD-0332</t>
  </si>
  <si>
    <t>FD-0333</t>
  </si>
  <si>
    <t>FD-0334</t>
  </si>
  <si>
    <t>FD-0335</t>
  </si>
  <si>
    <t>FD-0336</t>
  </si>
  <si>
    <t>FD-0337</t>
  </si>
  <si>
    <t>FD-0338</t>
  </si>
  <si>
    <t>FD-0339</t>
  </si>
  <si>
    <t>FD-0343</t>
  </si>
  <si>
    <t>FD-0344</t>
  </si>
  <si>
    <t>FI-0346</t>
  </si>
  <si>
    <t>FD-0350</t>
  </si>
  <si>
    <t>FD-0352</t>
  </si>
  <si>
    <t>FD-0354</t>
  </si>
  <si>
    <t>FI-0356</t>
  </si>
  <si>
    <t>FI-0357</t>
  </si>
  <si>
    <t>FI-0361</t>
  </si>
  <si>
    <t>FI-0362</t>
  </si>
  <si>
    <t>FD-0363</t>
  </si>
  <si>
    <t>FD-0364</t>
  </si>
  <si>
    <t>FI-0365</t>
  </si>
  <si>
    <t>FD-0366</t>
  </si>
  <si>
    <t>FD-0368</t>
  </si>
  <si>
    <t>FI-0369</t>
  </si>
  <si>
    <t>FI-0371</t>
  </si>
  <si>
    <t>FD-0372</t>
  </si>
  <si>
    <t>-0374</t>
  </si>
  <si>
    <t>FD-0375</t>
  </si>
  <si>
    <t>FD-0376</t>
  </si>
  <si>
    <t>FD-0378</t>
  </si>
  <si>
    <t>FD-0379</t>
  </si>
  <si>
    <t>FD-0380</t>
  </si>
  <si>
    <t>FD-0383</t>
  </si>
  <si>
    <t>FD-0384</t>
  </si>
  <si>
    <t>FD-0385</t>
  </si>
  <si>
    <t>FD-0387</t>
  </si>
  <si>
    <t>FD-0390</t>
  </si>
  <si>
    <t>FD-0391</t>
  </si>
  <si>
    <t>FD-0392</t>
  </si>
  <si>
    <t>FD-0394</t>
  </si>
  <si>
    <t>FD-0397</t>
  </si>
  <si>
    <t>FD-0398</t>
  </si>
  <si>
    <t>FD-0403</t>
  </si>
  <si>
    <t>FD-0405</t>
  </si>
  <si>
    <t>FD-0406</t>
  </si>
  <si>
    <t>FD-0407</t>
  </si>
  <si>
    <t>FD-0408</t>
  </si>
  <si>
    <t>FD-0409</t>
  </si>
  <si>
    <t>FD-0410</t>
  </si>
  <si>
    <t>FD-0416</t>
  </si>
  <si>
    <t>FD-0417</t>
  </si>
  <si>
    <t>FD-0418</t>
  </si>
  <si>
    <t>FD-0419</t>
  </si>
  <si>
    <t>FD-0421</t>
  </si>
  <si>
    <t>FI-0425</t>
  </si>
  <si>
    <t>FD-0428</t>
  </si>
  <si>
    <t>FD-0429</t>
  </si>
  <si>
    <t>FD-0431</t>
  </si>
  <si>
    <t>FD-0434</t>
  </si>
  <si>
    <t>FD-0437</t>
  </si>
  <si>
    <t>FD-0438</t>
  </si>
  <si>
    <t>FD-0439</t>
  </si>
  <si>
    <t>FD-0447</t>
  </si>
  <si>
    <t>FD-0448</t>
  </si>
  <si>
    <t>FD-0449</t>
  </si>
  <si>
    <t>FD-0450</t>
  </si>
  <si>
    <t>FI-0451</t>
  </si>
  <si>
    <t>FD-0452</t>
  </si>
  <si>
    <t>FD-0464</t>
  </si>
  <si>
    <t>FD-0468</t>
  </si>
  <si>
    <t>FD-0470</t>
  </si>
  <si>
    <t>FD-0471</t>
  </si>
  <si>
    <t>FD-0472</t>
  </si>
  <si>
    <t>FD-0474</t>
  </si>
  <si>
    <t>FD-0475</t>
  </si>
  <si>
    <t>FD-0476</t>
  </si>
  <si>
    <t>FD-0484</t>
  </si>
  <si>
    <t>FD-0487</t>
  </si>
  <si>
    <t>FD-0488</t>
  </si>
  <si>
    <t>FD-0490</t>
  </si>
  <si>
    <t>FD-0502</t>
  </si>
  <si>
    <t>FI-0515</t>
  </si>
  <si>
    <t>FD-0524</t>
  </si>
  <si>
    <t>FD-0525</t>
  </si>
  <si>
    <t>FD-0526</t>
  </si>
  <si>
    <t>FD-0527</t>
  </si>
  <si>
    <t>FI-0613</t>
  </si>
  <si>
    <t>FD-0679</t>
  </si>
  <si>
    <t>FD-0763</t>
  </si>
  <si>
    <t>FI-0778</t>
  </si>
  <si>
    <t>FD-0796</t>
  </si>
  <si>
    <t>FD-0946</t>
  </si>
  <si>
    <t>FD-1110</t>
  </si>
  <si>
    <t>FI-1154</t>
  </si>
  <si>
    <t>FD-1204</t>
  </si>
  <si>
    <t>FI-1218</t>
  </si>
  <si>
    <t>FI-1350</t>
  </si>
  <si>
    <t>FI-1351</t>
  </si>
  <si>
    <t>FI-1353</t>
  </si>
  <si>
    <t>FI-1718</t>
  </si>
  <si>
    <t>FD-1726</t>
  </si>
  <si>
    <t>FD-1834</t>
  </si>
  <si>
    <t>FD-1987</t>
  </si>
  <si>
    <t>FD-1993</t>
  </si>
  <si>
    <t>FD-1994</t>
  </si>
  <si>
    <t>FD-1995</t>
  </si>
  <si>
    <t>FD-1996</t>
  </si>
  <si>
    <t>-CARTÃO 1</t>
  </si>
  <si>
    <t>-CARTÃO 2</t>
  </si>
  <si>
    <t>-CARTÃO 3</t>
  </si>
  <si>
    <t>Código</t>
  </si>
  <si>
    <t>Estas dimensões correspondem ao formato final do formulário. O formulário, depois do tratamento de vincagem, dobra e colagem das abas laterais, ficará na forma de bolso, conforme modelo.</t>
  </si>
  <si>
    <t xml:space="preserve">88x166 </t>
  </si>
  <si>
    <t>IMPRESSÃO OFFSET - De 001 a 500</t>
  </si>
  <si>
    <t>IMPRESSÃO OFFSET - De 501 a 1.000</t>
  </si>
  <si>
    <t>Produção A 2 (420 x 594 mm) - De 001 a 500</t>
  </si>
  <si>
    <t>Produção A 2 (420 x 594 mm) - De 501 a 1.000</t>
  </si>
  <si>
    <t>Produção A2(420 x 594 mm) De 1.001 a 10.000</t>
  </si>
  <si>
    <t>Produção A3 (297 x 420 mm) de 001 a 500</t>
  </si>
  <si>
    <t>Produção A3 (297 x 420 mm) de 501 a 1.000</t>
  </si>
  <si>
    <t>Produção A3 (297 x 420 mm) de 1.001 a 10.000</t>
  </si>
  <si>
    <t>Produção A3 (297 x 420 mm) de 10.001 a 50.000</t>
  </si>
  <si>
    <t>Produção A4 (210x297mm) - de 501 a 1.000</t>
  </si>
  <si>
    <t>Produção A4 (210x297mm) - de 1.001 a 10.000</t>
  </si>
  <si>
    <t>Produção A4 (210x297mm) - de 10.001 a 50.000</t>
  </si>
  <si>
    <t>Produção A4 (210x297mm) - acima de 50.000</t>
  </si>
  <si>
    <t>Produção A4 (210x297mm) - de 001 a 500</t>
  </si>
  <si>
    <t>Produção A5 (148x210mm) - de 001 a 500</t>
  </si>
  <si>
    <t>Produção A5 (148x210mm) - de 501 a 1.000</t>
  </si>
  <si>
    <t>Produção A5 (148x210mm) - de 1.001 a 10.000</t>
  </si>
  <si>
    <t>Produção A5 (148x210mm) - de 10.001 a 50.000</t>
  </si>
  <si>
    <t>Produção A5 (148x210mm) - acima de 50.000</t>
  </si>
  <si>
    <t>Produção A6 (105x148mm) - de 1.001 a 10.000</t>
  </si>
  <si>
    <t>Produção A6 (105x148mm) - de 10.001 a 50.000</t>
  </si>
  <si>
    <t>Produção A6 (105x148mm) - acima de 50.000</t>
  </si>
  <si>
    <t>Produção A6 (105x148mm) - de 501 a 1.000</t>
  </si>
  <si>
    <t>Produção A6 (105x148mm) - de 001 a 500</t>
  </si>
  <si>
    <t>Produção A7 (74x105mm) - de 001 a 500</t>
  </si>
  <si>
    <t>Produção A7 (74x105mm) - de 501 a 1.000</t>
  </si>
  <si>
    <t>Produção A7 (74x105mm) - de 1.001 a 10.000</t>
  </si>
  <si>
    <t>Produção A7 (74x105mm) - de 10.001 a 50.000</t>
  </si>
  <si>
    <t>Serviços de Plotagem -  Tamanho Personalizado</t>
  </si>
  <si>
    <t>Laminação -  tamanho Personalizado</t>
  </si>
  <si>
    <t>Papel Couche, Brilhante ou Fosco 90g 90g - A3</t>
  </si>
  <si>
    <t>Papel Couche, Brilhante / Fosco 90g - A4 / Ofício</t>
  </si>
  <si>
    <t>Papel Couche, Brilhante ou Fosco 90g - A5</t>
  </si>
  <si>
    <t>Papel Couche, Brilhante ou Fosco 120g - A2</t>
  </si>
  <si>
    <t>Papel Couche, Brilhante ou Fosco 120g -  A3</t>
  </si>
  <si>
    <t>Papel Couche, Brilhante/Fosco 120g - A4 / Ofício</t>
  </si>
  <si>
    <t>Papel Couche, Brilhante/Fosco 150g - Cartaz (410 x 610 mm)</t>
  </si>
  <si>
    <t>Papel Couche, Brilhante/Fosco 150g - A3</t>
  </si>
  <si>
    <t>Papel Couche, Brilhante/Fosco 150g - A4 / Ofício</t>
  </si>
  <si>
    <t>Papel Couche, Brilhante/Fosco 150g - A5</t>
  </si>
  <si>
    <t>Papel Couche, Brilhante/Fosco 150g - A6</t>
  </si>
  <si>
    <t>Papel Couche, Brilhante/Fosco 150g - A7</t>
  </si>
  <si>
    <t>Papel Couche, Brilhante/Fosco 180g - A2</t>
  </si>
  <si>
    <t>Papel Couche, Brilhante/Fosco 180g - A3 extra</t>
  </si>
  <si>
    <t>Papel Couche, Brilhante/Fosco 180g - A4 ou Ofício</t>
  </si>
  <si>
    <t>Papel Couche, Brilhante/Fosco 180g - A5</t>
  </si>
  <si>
    <t>Papel Couche, Brilhante/Fosco 180g - A6</t>
  </si>
  <si>
    <t>QTDE SOLICITADA</t>
  </si>
  <si>
    <t>Auto - adesivo brilhante ou fosco- A3</t>
  </si>
  <si>
    <t>Auto - adesivo brilhante ou fosco - A4</t>
  </si>
  <si>
    <t>Auto - adesivo brilhante ou fosco - A5</t>
  </si>
  <si>
    <t>Auto - adesivo brilhante ou fosco - A6</t>
  </si>
  <si>
    <t>Auto - adesivo brilhante ou fosco - A7</t>
  </si>
  <si>
    <t>Autocopiativo - Branco ou outra cor padrão A4 ou Ofício</t>
  </si>
  <si>
    <t>Autocopiativo - Branco ou outra cor padrão - A6</t>
  </si>
  <si>
    <t>Autocopiativo - Branco ou outra cor padrão - A5</t>
  </si>
  <si>
    <t>IMPRESSÃO DIGITAL A 3 Extra (320 x 450 mm)</t>
  </si>
  <si>
    <t>IMPRESSÃO DIGITAL A 4 (210 x 297 mm)</t>
  </si>
  <si>
    <t>IMPRESSÃO DIGITAL A 5 (148 x 210 mm)</t>
  </si>
  <si>
    <t>Cartão Represent. Padrão (Qtde por lote: 50 unid.)</t>
  </si>
  <si>
    <t>Cartão Represent. Executivo (Qtde. lote: 50 unid.)</t>
  </si>
  <si>
    <t>Cartão Represent. Braille (Qtde. lote: 50 unidades)</t>
  </si>
  <si>
    <t>UNIT.</t>
  </si>
  <si>
    <t>foo</t>
  </si>
  <si>
    <t>bar</t>
  </si>
  <si>
    <t>baz</t>
  </si>
  <si>
    <t>foobar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</si>
</sst>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&quot;   &quot;;\-#,##0&quot;   &quot;"/>
    <numFmt numFmtId="165" formatCode="dd/mm/yy;@"/>
    <numFmt numFmtId="166" formatCode="[$-416]mmm\-yy;@"/>
    <numFmt numFmtId="167" formatCode="#,##0.00\ ;&quot; (&quot;#,##0.00\);&quot; -&quot;#\ ;@\ "/>
  </numFmts>
  <fonts count="5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theme="1"/>
      <name val="Arial"/>
      <family val="2"/>
    </font>
    <font>
      <b/>
      <sz val="9"/>
      <color rgb="FF000000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Segoe UI"/>
      <family val="2"/>
    </font>
    <font>
      <sz val="10"/>
      <name val="Segoe UI"/>
      <family val="2"/>
    </font>
    <font>
      <sz val="11"/>
      <color indexed="8"/>
      <name val="Calibri"/>
      <family val="2"/>
    </font>
    <font>
      <b/>
      <sz val="14"/>
      <color rgb="FF000000"/>
      <name val="Arial"/>
      <family val="2"/>
    </font>
    <font>
      <sz val="7"/>
      <color indexed="8"/>
      <name val="Arial"/>
      <family val="2"/>
    </font>
    <font>
      <sz val="5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sz val="6"/>
      <color theme="1"/>
      <name val="Arial"/>
      <family val="2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BFE3BF"/>
        <bgColor indexed="64"/>
      </patternFill>
    </fill>
    <fill>
      <patternFill patternType="solid">
        <fgColor rgb="FFC7E7C7"/>
        <bgColor indexed="64"/>
      </patternFill>
    </fill>
    <fill>
      <patternFill patternType="solid">
        <fgColor rgb="FF3F622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9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0" borderId="0"/>
    <xf numFmtId="0" fontId="21" fillId="0" borderId="0"/>
    <xf numFmtId="0" fontId="29" fillId="0" borderId="0"/>
    <xf numFmtId="0" fontId="26" fillId="0" borderId="0"/>
    <xf numFmtId="167" fontId="26" fillId="0" borderId="0" applyBorder="0" applyProtection="0"/>
    <xf numFmtId="43" fontId="1" fillId="0" borderId="0" applyFont="0" applyFill="0" applyBorder="0" applyAlignment="0" applyProtection="0"/>
  </cellStyleXfs>
  <cellXfs count="342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9" fillId="33" borderId="18" xfId="43" applyFont="1" applyFill="1" applyBorder="1" applyAlignment="1">
      <alignment horizontal="center" vertical="top" wrapText="1"/>
    </xf>
    <xf numFmtId="0" fontId="23" fillId="0" borderId="18" xfId="43" applyFont="1" applyBorder="1" applyAlignment="1">
      <alignment horizontal="center" vertical="top" wrapText="1"/>
    </xf>
    <xf numFmtId="0" fontId="23" fillId="34" borderId="18" xfId="43" applyFont="1" applyFill="1" applyBorder="1" applyAlignment="1">
      <alignment horizontal="center" vertical="top" wrapText="1"/>
    </xf>
    <xf numFmtId="0" fontId="23" fillId="34" borderId="20" xfId="43" applyFont="1" applyFill="1" applyBorder="1" applyAlignment="1">
      <alignment horizontal="center" vertical="top" wrapText="1"/>
    </xf>
    <xf numFmtId="0" fontId="30" fillId="36" borderId="0" xfId="45" applyFont="1" applyFill="1" applyAlignment="1">
      <alignment horizontal="left" vertical="center" wrapText="1"/>
    </xf>
    <xf numFmtId="0" fontId="31" fillId="36" borderId="0" xfId="46" applyFont="1" applyFill="1" applyAlignment="1">
      <alignment vertical="center"/>
    </xf>
    <xf numFmtId="0" fontId="32" fillId="36" borderId="0" xfId="45" applyFont="1" applyFill="1"/>
    <xf numFmtId="0" fontId="32" fillId="36" borderId="0" xfId="45" applyFont="1" applyFill="1" applyAlignment="1">
      <alignment horizontal="center" vertical="top"/>
    </xf>
    <xf numFmtId="0" fontId="32" fillId="36" borderId="0" xfId="45" applyFont="1" applyFill="1" applyAlignment="1">
      <alignment horizontal="right"/>
    </xf>
    <xf numFmtId="0" fontId="32" fillId="36" borderId="0" xfId="45" applyFont="1" applyFill="1" applyProtection="1">
      <protection locked="0"/>
    </xf>
    <xf numFmtId="0" fontId="20" fillId="36" borderId="0" xfId="45" applyFont="1" applyFill="1" applyAlignment="1">
      <alignment vertical="center" wrapText="1"/>
    </xf>
    <xf numFmtId="0" fontId="33" fillId="36" borderId="0" xfId="45" applyFont="1" applyFill="1" applyAlignment="1">
      <alignment horizontal="center" vertical="top" wrapText="1"/>
    </xf>
    <xf numFmtId="0" fontId="21" fillId="36" borderId="0" xfId="45" applyFont="1" applyFill="1"/>
    <xf numFmtId="164" fontId="34" fillId="36" borderId="0" xfId="45" applyNumberFormat="1" applyFont="1" applyFill="1" applyAlignment="1">
      <alignment vertical="top" wrapText="1"/>
    </xf>
    <xf numFmtId="0" fontId="21" fillId="36" borderId="0" xfId="45" applyFont="1" applyFill="1" applyAlignment="1">
      <alignment horizontal="right"/>
    </xf>
    <xf numFmtId="0" fontId="21" fillId="36" borderId="0" xfId="45" applyFont="1" applyFill="1" applyProtection="1">
      <protection locked="0"/>
    </xf>
    <xf numFmtId="164" fontId="35" fillId="36" borderId="0" xfId="45" applyNumberFormat="1" applyFont="1" applyFill="1" applyAlignment="1">
      <alignment vertical="top" wrapText="1"/>
    </xf>
    <xf numFmtId="0" fontId="22" fillId="36" borderId="0" xfId="45" applyFont="1" applyFill="1" applyAlignment="1">
      <alignment horizontal="center" vertical="center"/>
    </xf>
    <xf numFmtId="0" fontId="22" fillId="36" borderId="0" xfId="45" applyFont="1" applyFill="1" applyAlignment="1">
      <alignment horizontal="right" vertical="center"/>
    </xf>
    <xf numFmtId="0" fontId="22" fillId="36" borderId="0" xfId="45" applyFont="1" applyFill="1" applyAlignment="1" applyProtection="1">
      <alignment horizontal="center" vertical="center"/>
      <protection locked="0"/>
    </xf>
    <xf numFmtId="0" fontId="36" fillId="36" borderId="23" xfId="45" applyFont="1" applyFill="1" applyBorder="1" applyAlignment="1" applyProtection="1">
      <alignment vertical="center"/>
      <protection locked="0"/>
    </xf>
    <xf numFmtId="0" fontId="36" fillId="36" borderId="24" xfId="45" applyFont="1" applyFill="1" applyBorder="1" applyAlignment="1">
      <alignment vertical="center"/>
    </xf>
    <xf numFmtId="4" fontId="34" fillId="37" borderId="13" xfId="45" applyNumberFormat="1" applyFont="1" applyFill="1" applyBorder="1" applyAlignment="1">
      <alignment horizontal="center" vertical="center" wrapText="1"/>
    </xf>
    <xf numFmtId="0" fontId="34" fillId="37" borderId="13" xfId="45" applyFont="1" applyFill="1" applyBorder="1" applyAlignment="1">
      <alignment vertical="center" wrapText="1"/>
    </xf>
    <xf numFmtId="4" fontId="34" fillId="37" borderId="12" xfId="45" applyNumberFormat="1" applyFont="1" applyFill="1" applyBorder="1" applyAlignment="1">
      <alignment vertical="center" wrapText="1"/>
    </xf>
    <xf numFmtId="165" fontId="35" fillId="35" borderId="13" xfId="45" applyNumberFormat="1" applyFont="1" applyFill="1" applyBorder="1" applyAlignment="1">
      <alignment horizontal="center" vertical="center" wrapText="1"/>
    </xf>
    <xf numFmtId="0" fontId="21" fillId="36" borderId="0" xfId="45" applyFont="1" applyFill="1" applyAlignment="1">
      <alignment horizontal="center" vertical="center"/>
    </xf>
    <xf numFmtId="0" fontId="21" fillId="36" borderId="0" xfId="45" applyFont="1" applyFill="1" applyAlignment="1" applyProtection="1">
      <alignment horizontal="center" vertical="center"/>
      <protection locked="0"/>
    </xf>
    <xf numFmtId="166" fontId="21" fillId="35" borderId="10" xfId="45" applyNumberFormat="1" applyFont="1" applyFill="1" applyBorder="1" applyAlignment="1" applyProtection="1">
      <alignment vertical="center"/>
      <protection locked="0"/>
    </xf>
    <xf numFmtId="166" fontId="21" fillId="35" borderId="11" xfId="45" applyNumberFormat="1" applyFont="1" applyFill="1" applyBorder="1" applyAlignment="1">
      <alignment vertical="center"/>
    </xf>
    <xf numFmtId="166" fontId="21" fillId="35" borderId="12" xfId="45" applyNumberFormat="1" applyFont="1" applyFill="1" applyBorder="1" applyAlignment="1">
      <alignment vertical="center"/>
    </xf>
    <xf numFmtId="166" fontId="21" fillId="39" borderId="10" xfId="45" applyNumberFormat="1" applyFont="1" applyFill="1" applyBorder="1" applyAlignment="1" applyProtection="1">
      <alignment vertical="center"/>
      <protection locked="0"/>
    </xf>
    <xf numFmtId="166" fontId="21" fillId="39" borderId="12" xfId="45" applyNumberFormat="1" applyFont="1" applyFill="1" applyBorder="1" applyAlignment="1">
      <alignment vertical="center"/>
    </xf>
    <xf numFmtId="0" fontId="34" fillId="37" borderId="18" xfId="45" applyFont="1" applyFill="1" applyBorder="1" applyAlignment="1">
      <alignment horizontal="center" vertical="center" wrapText="1"/>
    </xf>
    <xf numFmtId="4" fontId="34" fillId="37" borderId="18" xfId="45" applyNumberFormat="1" applyFont="1" applyFill="1" applyBorder="1" applyAlignment="1">
      <alignment horizontal="center" vertical="center" wrapText="1"/>
    </xf>
    <xf numFmtId="4" fontId="34" fillId="37" borderId="16" xfId="45" applyNumberFormat="1" applyFont="1" applyFill="1" applyBorder="1" applyAlignment="1">
      <alignment vertical="center" wrapText="1"/>
    </xf>
    <xf numFmtId="4" fontId="34" fillId="37" borderId="13" xfId="45" applyNumberFormat="1" applyFont="1" applyFill="1" applyBorder="1" applyAlignment="1">
      <alignment horizontal="center" wrapText="1"/>
    </xf>
    <xf numFmtId="0" fontId="34" fillId="38" borderId="19" xfId="45" applyFont="1" applyFill="1" applyBorder="1" applyAlignment="1">
      <alignment horizontal="center" vertical="center"/>
    </xf>
    <xf numFmtId="166" fontId="21" fillId="35" borderId="15" xfId="45" applyNumberFormat="1" applyFont="1" applyFill="1" applyBorder="1" applyAlignment="1" applyProtection="1">
      <alignment vertical="center"/>
      <protection locked="0"/>
    </xf>
    <xf numFmtId="166" fontId="21" fillId="35" borderId="16" xfId="45" applyNumberFormat="1" applyFont="1" applyFill="1" applyBorder="1" applyAlignment="1">
      <alignment vertical="center"/>
    </xf>
    <xf numFmtId="166" fontId="21" fillId="35" borderId="17" xfId="45" applyNumberFormat="1" applyFont="1" applyFill="1" applyBorder="1" applyAlignment="1">
      <alignment vertical="center"/>
    </xf>
    <xf numFmtId="166" fontId="21" fillId="39" borderId="15" xfId="45" applyNumberFormat="1" applyFont="1" applyFill="1" applyBorder="1" applyAlignment="1" applyProtection="1">
      <alignment vertical="center"/>
      <protection locked="0"/>
    </xf>
    <xf numFmtId="166" fontId="21" fillId="39" borderId="17" xfId="45" applyNumberFormat="1" applyFont="1" applyFill="1" applyBorder="1" applyAlignment="1">
      <alignment vertical="center"/>
    </xf>
    <xf numFmtId="0" fontId="34" fillId="37" borderId="20" xfId="45" applyFont="1" applyFill="1" applyBorder="1" applyAlignment="1">
      <alignment vertical="center" wrapText="1"/>
    </xf>
    <xf numFmtId="4" fontId="34" fillId="37" borderId="20" xfId="45" applyNumberFormat="1" applyFont="1" applyFill="1" applyBorder="1" applyAlignment="1">
      <alignment horizontal="center" vertical="center" wrapText="1"/>
    </xf>
    <xf numFmtId="167" fontId="34" fillId="37" borderId="22" xfId="47" applyFont="1" applyFill="1" applyBorder="1" applyAlignment="1" applyProtection="1">
      <alignment horizontal="center" vertical="center"/>
    </xf>
    <xf numFmtId="167" fontId="34" fillId="37" borderId="20" xfId="47" applyFont="1" applyFill="1" applyBorder="1" applyAlignment="1" applyProtection="1">
      <alignment horizontal="center" vertical="center"/>
    </xf>
    <xf numFmtId="0" fontId="21" fillId="38" borderId="20" xfId="45" applyFont="1" applyFill="1" applyBorder="1" applyAlignment="1">
      <alignment horizontal="center" vertical="center"/>
    </xf>
    <xf numFmtId="0" fontId="21" fillId="35" borderId="20" xfId="45" applyFont="1" applyFill="1" applyBorder="1" applyAlignment="1">
      <alignment horizontal="center" vertical="center"/>
    </xf>
    <xf numFmtId="0" fontId="34" fillId="35" borderId="20" xfId="45" applyFont="1" applyFill="1" applyBorder="1" applyAlignment="1" applyProtection="1">
      <alignment horizontal="center" vertical="center"/>
      <protection locked="0"/>
    </xf>
    <xf numFmtId="0" fontId="34" fillId="35" borderId="20" xfId="45" applyFont="1" applyFill="1" applyBorder="1" applyAlignment="1">
      <alignment horizontal="center" vertical="center"/>
    </xf>
    <xf numFmtId="0" fontId="34" fillId="39" borderId="20" xfId="45" applyFont="1" applyFill="1" applyBorder="1" applyAlignment="1" applyProtection="1">
      <alignment horizontal="center" vertical="center"/>
      <protection locked="0"/>
    </xf>
    <xf numFmtId="0" fontId="34" fillId="39" borderId="20" xfId="45" applyFont="1" applyFill="1" applyBorder="1" applyAlignment="1">
      <alignment horizontal="center" vertical="center"/>
    </xf>
    <xf numFmtId="3" fontId="19" fillId="0" borderId="18" xfId="42" applyNumberFormat="1" applyFont="1" applyBorder="1" applyAlignment="1">
      <alignment horizontal="center" vertical="top" wrapText="1"/>
    </xf>
    <xf numFmtId="43" fontId="22" fillId="36" borderId="23" xfId="47" applyNumberFormat="1" applyFont="1" applyFill="1" applyBorder="1" applyAlignment="1" applyProtection="1">
      <alignment horizontal="right" vertical="top" wrapText="1"/>
    </xf>
    <xf numFmtId="43" fontId="22" fillId="36" borderId="18" xfId="47" applyNumberFormat="1" applyFont="1" applyFill="1" applyBorder="1" applyAlignment="1" applyProtection="1">
      <alignment horizontal="right" vertical="top" wrapText="1"/>
    </xf>
    <xf numFmtId="43" fontId="22" fillId="36" borderId="24" xfId="47" applyNumberFormat="1" applyFont="1" applyFill="1" applyBorder="1" applyAlignment="1" applyProtection="1">
      <alignment horizontal="right" vertical="top" wrapText="1"/>
    </xf>
    <xf numFmtId="0" fontId="22" fillId="0" borderId="23" xfId="45" applyFont="1" applyBorder="1" applyAlignment="1">
      <alignment horizontal="right" vertical="center"/>
    </xf>
    <xf numFmtId="0" fontId="22" fillId="0" borderId="0" xfId="45" applyFont="1" applyAlignment="1">
      <alignment horizontal="right" vertical="center"/>
    </xf>
    <xf numFmtId="0" fontId="22" fillId="0" borderId="24" xfId="45" applyFont="1" applyBorder="1" applyAlignment="1">
      <alignment horizontal="right" vertical="center"/>
    </xf>
    <xf numFmtId="0" fontId="22" fillId="36" borderId="23" xfId="45" applyFont="1" applyFill="1" applyBorder="1" applyAlignment="1" applyProtection="1">
      <alignment horizontal="center" vertical="center"/>
      <protection locked="0"/>
    </xf>
    <xf numFmtId="0" fontId="22" fillId="36" borderId="18" xfId="45" applyFont="1" applyFill="1" applyBorder="1" applyAlignment="1">
      <alignment horizontal="center" vertical="center"/>
    </xf>
    <xf numFmtId="3" fontId="19" fillId="33" borderId="18" xfId="42" applyNumberFormat="1" applyFont="1" applyFill="1" applyBorder="1" applyAlignment="1">
      <alignment horizontal="center" vertical="top" wrapText="1"/>
    </xf>
    <xf numFmtId="43" fontId="22" fillId="33" borderId="23" xfId="47" applyNumberFormat="1" applyFont="1" applyFill="1" applyBorder="1" applyAlignment="1" applyProtection="1">
      <alignment horizontal="right" vertical="top" wrapText="1"/>
    </xf>
    <xf numFmtId="43" fontId="22" fillId="33" borderId="18" xfId="47" applyNumberFormat="1" applyFont="1" applyFill="1" applyBorder="1" applyAlignment="1" applyProtection="1">
      <alignment horizontal="right" vertical="top" wrapText="1"/>
    </xf>
    <xf numFmtId="43" fontId="22" fillId="33" borderId="24" xfId="47" applyNumberFormat="1" applyFont="1" applyFill="1" applyBorder="1" applyAlignment="1" applyProtection="1">
      <alignment horizontal="right" vertical="top" wrapText="1"/>
    </xf>
    <xf numFmtId="0" fontId="22" fillId="33" borderId="23" xfId="45" applyFont="1" applyFill="1" applyBorder="1" applyAlignment="1">
      <alignment horizontal="right" vertical="center"/>
    </xf>
    <xf numFmtId="0" fontId="22" fillId="33" borderId="0" xfId="45" applyFont="1" applyFill="1" applyAlignment="1">
      <alignment horizontal="right" vertical="center"/>
    </xf>
    <xf numFmtId="0" fontId="22" fillId="33" borderId="24" xfId="45" applyFont="1" applyFill="1" applyBorder="1" applyAlignment="1">
      <alignment horizontal="right" vertical="center"/>
    </xf>
    <xf numFmtId="0" fontId="22" fillId="33" borderId="18" xfId="45" applyFont="1" applyFill="1" applyBorder="1" applyAlignment="1" applyProtection="1">
      <alignment horizontal="center" vertical="center"/>
      <protection locked="0"/>
    </xf>
    <xf numFmtId="0" fontId="22" fillId="33" borderId="18" xfId="45" applyFont="1" applyFill="1" applyBorder="1" applyAlignment="1">
      <alignment horizontal="center" vertical="center"/>
    </xf>
    <xf numFmtId="3" fontId="23" fillId="0" borderId="18" xfId="42" applyNumberFormat="1" applyFont="1" applyBorder="1" applyAlignment="1">
      <alignment horizontal="center" vertical="top" wrapText="1"/>
    </xf>
    <xf numFmtId="3" fontId="23" fillId="0" borderId="18" xfId="43" applyNumberFormat="1" applyFont="1" applyBorder="1" applyAlignment="1">
      <alignment horizontal="center" vertical="top" wrapText="1"/>
    </xf>
    <xf numFmtId="43" fontId="22" fillId="0" borderId="23" xfId="47" applyNumberFormat="1" applyFont="1" applyBorder="1" applyAlignment="1" applyProtection="1">
      <alignment horizontal="right" vertical="top" wrapText="1"/>
    </xf>
    <xf numFmtId="43" fontId="22" fillId="0" borderId="18" xfId="47" applyNumberFormat="1" applyFont="1" applyBorder="1" applyAlignment="1" applyProtection="1">
      <alignment horizontal="right" vertical="top" wrapText="1"/>
    </xf>
    <xf numFmtId="1" fontId="22" fillId="0" borderId="23" xfId="45" applyNumberFormat="1" applyFont="1" applyBorder="1" applyAlignment="1">
      <alignment horizontal="right" vertical="center"/>
    </xf>
    <xf numFmtId="4" fontId="22" fillId="0" borderId="0" xfId="45" applyNumberFormat="1" applyFont="1" applyAlignment="1">
      <alignment horizontal="right" vertical="center"/>
    </xf>
    <xf numFmtId="4" fontId="22" fillId="0" borderId="24" xfId="45" applyNumberFormat="1" applyFont="1" applyBorder="1" applyAlignment="1">
      <alignment horizontal="right" vertical="center"/>
    </xf>
    <xf numFmtId="3" fontId="22" fillId="36" borderId="18" xfId="45" applyNumberFormat="1" applyFont="1" applyFill="1" applyBorder="1" applyAlignment="1" applyProtection="1">
      <alignment horizontal="right" vertical="center"/>
      <protection locked="0"/>
    </xf>
    <xf numFmtId="4" fontId="22" fillId="36" borderId="18" xfId="45" applyNumberFormat="1" applyFont="1" applyFill="1" applyBorder="1" applyAlignment="1">
      <alignment horizontal="right" vertical="center"/>
    </xf>
    <xf numFmtId="3" fontId="23" fillId="34" borderId="18" xfId="42" applyNumberFormat="1" applyFont="1" applyFill="1" applyBorder="1" applyAlignment="1">
      <alignment horizontal="center" vertical="top" wrapText="1"/>
    </xf>
    <xf numFmtId="3" fontId="23" fillId="34" borderId="18" xfId="43" applyNumberFormat="1" applyFont="1" applyFill="1" applyBorder="1" applyAlignment="1">
      <alignment horizontal="center" vertical="top" wrapText="1"/>
    </xf>
    <xf numFmtId="43" fontId="22" fillId="34" borderId="23" xfId="47" applyNumberFormat="1" applyFont="1" applyFill="1" applyBorder="1" applyAlignment="1" applyProtection="1">
      <alignment horizontal="right" vertical="top" wrapText="1"/>
    </xf>
    <xf numFmtId="43" fontId="22" fillId="34" borderId="18" xfId="47" applyNumberFormat="1" applyFont="1" applyFill="1" applyBorder="1" applyAlignment="1" applyProtection="1">
      <alignment horizontal="right" vertical="top" wrapText="1"/>
    </xf>
    <xf numFmtId="1" fontId="22" fillId="34" borderId="23" xfId="45" applyNumberFormat="1" applyFont="1" applyFill="1" applyBorder="1" applyAlignment="1">
      <alignment horizontal="right" vertical="center"/>
    </xf>
    <xf numFmtId="4" fontId="22" fillId="34" borderId="0" xfId="45" applyNumberFormat="1" applyFont="1" applyFill="1" applyAlignment="1">
      <alignment horizontal="right" vertical="center"/>
    </xf>
    <xf numFmtId="4" fontId="22" fillId="34" borderId="24" xfId="45" applyNumberFormat="1" applyFont="1" applyFill="1" applyBorder="1" applyAlignment="1">
      <alignment horizontal="right" vertical="center"/>
    </xf>
    <xf numFmtId="3" fontId="22" fillId="34" borderId="18" xfId="45" applyNumberFormat="1" applyFont="1" applyFill="1" applyBorder="1" applyAlignment="1" applyProtection="1">
      <alignment horizontal="center" vertical="center"/>
      <protection locked="0"/>
    </xf>
    <xf numFmtId="4" fontId="22" fillId="34" borderId="18" xfId="45" applyNumberFormat="1" applyFont="1" applyFill="1" applyBorder="1" applyAlignment="1">
      <alignment horizontal="right" vertical="center"/>
    </xf>
    <xf numFmtId="3" fontId="22" fillId="36" borderId="18" xfId="45" applyNumberFormat="1" applyFont="1" applyFill="1" applyBorder="1" applyAlignment="1" applyProtection="1">
      <alignment horizontal="center" vertical="center"/>
      <protection locked="0"/>
    </xf>
    <xf numFmtId="1" fontId="22" fillId="33" borderId="23" xfId="45" applyNumberFormat="1" applyFont="1" applyFill="1" applyBorder="1" applyAlignment="1">
      <alignment horizontal="right" vertical="center"/>
    </xf>
    <xf numFmtId="4" fontId="22" fillId="33" borderId="0" xfId="45" applyNumberFormat="1" applyFont="1" applyFill="1" applyAlignment="1">
      <alignment horizontal="right" vertical="center"/>
    </xf>
    <xf numFmtId="4" fontId="22" fillId="33" borderId="24" xfId="45" applyNumberFormat="1" applyFont="1" applyFill="1" applyBorder="1" applyAlignment="1">
      <alignment horizontal="right" vertical="center"/>
    </xf>
    <xf numFmtId="3" fontId="22" fillId="33" borderId="18" xfId="45" applyNumberFormat="1" applyFont="1" applyFill="1" applyBorder="1" applyAlignment="1" applyProtection="1">
      <alignment horizontal="center" vertical="center"/>
      <protection locked="0"/>
    </xf>
    <xf numFmtId="4" fontId="22" fillId="33" borderId="18" xfId="45" applyNumberFormat="1" applyFont="1" applyFill="1" applyBorder="1" applyAlignment="1">
      <alignment horizontal="right" vertical="center"/>
    </xf>
    <xf numFmtId="3" fontId="23" fillId="34" borderId="20" xfId="42" applyNumberFormat="1" applyFont="1" applyFill="1" applyBorder="1" applyAlignment="1">
      <alignment horizontal="center" vertical="top" wrapText="1"/>
    </xf>
    <xf numFmtId="3" fontId="23" fillId="34" borderId="20" xfId="43" applyNumberFormat="1" applyFont="1" applyFill="1" applyBorder="1" applyAlignment="1">
      <alignment horizontal="center" vertical="top" wrapText="1"/>
    </xf>
    <xf numFmtId="43" fontId="22" fillId="34" borderId="15" xfId="47" applyNumberFormat="1" applyFont="1" applyFill="1" applyBorder="1" applyAlignment="1" applyProtection="1">
      <alignment horizontal="right" vertical="top" wrapText="1"/>
    </xf>
    <xf numFmtId="3" fontId="19" fillId="33" borderId="18" xfId="43" applyNumberFormat="1" applyFont="1" applyFill="1" applyBorder="1" applyAlignment="1">
      <alignment horizontal="center" vertical="top" wrapText="1"/>
    </xf>
    <xf numFmtId="0" fontId="23" fillId="36" borderId="18" xfId="43" applyFont="1" applyFill="1" applyBorder="1" applyAlignment="1">
      <alignment horizontal="center" vertical="top" wrapText="1"/>
    </xf>
    <xf numFmtId="0" fontId="22" fillId="36" borderId="0" xfId="45" applyFont="1" applyFill="1"/>
    <xf numFmtId="0" fontId="22" fillId="36" borderId="0" xfId="45" applyFont="1" applyFill="1" applyProtection="1">
      <protection locked="0"/>
    </xf>
    <xf numFmtId="3" fontId="22" fillId="33" borderId="18" xfId="45" applyNumberFormat="1" applyFont="1" applyFill="1" applyBorder="1" applyProtection="1">
      <protection locked="0"/>
    </xf>
    <xf numFmtId="3" fontId="22" fillId="36" borderId="18" xfId="45" applyNumberFormat="1" applyFont="1" applyFill="1" applyBorder="1" applyProtection="1">
      <protection locked="0"/>
    </xf>
    <xf numFmtId="3" fontId="22" fillId="34" borderId="18" xfId="45" applyNumberFormat="1" applyFont="1" applyFill="1" applyBorder="1" applyProtection="1">
      <protection locked="0"/>
    </xf>
    <xf numFmtId="0" fontId="23" fillId="33" borderId="18" xfId="43" applyFont="1" applyFill="1" applyBorder="1" applyAlignment="1">
      <alignment horizontal="center" vertical="top" wrapText="1"/>
    </xf>
    <xf numFmtId="0" fontId="22" fillId="36" borderId="0" xfId="45" applyFont="1" applyFill="1" applyAlignment="1">
      <alignment horizontal="left" vertical="top" wrapText="1"/>
    </xf>
    <xf numFmtId="0" fontId="22" fillId="36" borderId="0" xfId="45" applyFont="1" applyFill="1" applyAlignment="1" applyProtection="1">
      <alignment horizontal="left" vertical="top" wrapText="1"/>
      <protection locked="0"/>
    </xf>
    <xf numFmtId="3" fontId="22" fillId="36" borderId="18" xfId="45" applyNumberFormat="1" applyFont="1" applyFill="1" applyBorder="1" applyAlignment="1" applyProtection="1">
      <alignment horizontal="left" vertical="top" wrapText="1"/>
      <protection locked="0"/>
    </xf>
    <xf numFmtId="3" fontId="22" fillId="34" borderId="18" xfId="45" applyNumberFormat="1" applyFont="1" applyFill="1" applyBorder="1" applyAlignment="1" applyProtection="1">
      <alignment horizontal="left" vertical="top" wrapText="1"/>
      <protection locked="0"/>
    </xf>
    <xf numFmtId="3" fontId="22" fillId="33" borderId="18" xfId="45" applyNumberFormat="1" applyFont="1" applyFill="1" applyBorder="1" applyAlignment="1" applyProtection="1">
      <alignment horizontal="left" vertical="top" wrapText="1"/>
      <protection locked="0"/>
    </xf>
    <xf numFmtId="4" fontId="22" fillId="0" borderId="20" xfId="45" applyNumberFormat="1" applyFont="1" applyBorder="1" applyAlignment="1">
      <alignment horizontal="right" vertical="center"/>
    </xf>
    <xf numFmtId="3" fontId="33" fillId="40" borderId="20" xfId="45" applyNumberFormat="1" applyFont="1" applyFill="1" applyBorder="1" applyAlignment="1">
      <alignment horizontal="center" vertical="top" wrapText="1"/>
    </xf>
    <xf numFmtId="0" fontId="33" fillId="40" borderId="20" xfId="45" applyFont="1" applyFill="1" applyBorder="1" applyAlignment="1">
      <alignment horizontal="center" vertical="top" wrapText="1"/>
    </xf>
    <xf numFmtId="43" fontId="22" fillId="40" borderId="15" xfId="47" applyNumberFormat="1" applyFont="1" applyFill="1" applyBorder="1" applyAlignment="1" applyProtection="1">
      <alignment horizontal="right" vertical="top" wrapText="1"/>
    </xf>
    <xf numFmtId="43" fontId="22" fillId="40" borderId="18" xfId="47" applyNumberFormat="1" applyFont="1" applyFill="1" applyBorder="1" applyAlignment="1" applyProtection="1">
      <alignment horizontal="right" vertical="top" wrapText="1"/>
    </xf>
    <xf numFmtId="43" fontId="22" fillId="40" borderId="24" xfId="47" applyNumberFormat="1" applyFont="1" applyFill="1" applyBorder="1" applyAlignment="1" applyProtection="1">
      <alignment horizontal="right" vertical="top" wrapText="1"/>
    </xf>
    <xf numFmtId="0" fontId="22" fillId="40" borderId="22" xfId="45" applyFont="1" applyFill="1" applyBorder="1" applyAlignment="1">
      <alignment horizontal="right" vertical="top" wrapText="1"/>
    </xf>
    <xf numFmtId="4" fontId="22" fillId="40" borderId="21" xfId="45" applyNumberFormat="1" applyFont="1" applyFill="1" applyBorder="1" applyAlignment="1">
      <alignment horizontal="right" vertical="top" wrapText="1"/>
    </xf>
    <xf numFmtId="4" fontId="22" fillId="40" borderId="14" xfId="45" applyNumberFormat="1" applyFont="1" applyFill="1" applyBorder="1" applyAlignment="1">
      <alignment horizontal="right" vertical="top" wrapText="1"/>
    </xf>
    <xf numFmtId="4" fontId="22" fillId="40" borderId="24" xfId="45" applyNumberFormat="1" applyFont="1" applyFill="1" applyBorder="1" applyAlignment="1">
      <alignment horizontal="right" vertical="top" wrapText="1"/>
    </xf>
    <xf numFmtId="3" fontId="22" fillId="40" borderId="19" xfId="45" applyNumberFormat="1" applyFont="1" applyFill="1" applyBorder="1" applyAlignment="1" applyProtection="1">
      <alignment horizontal="left" vertical="top" wrapText="1"/>
      <protection locked="0"/>
    </xf>
    <xf numFmtId="4" fontId="22" fillId="40" borderId="19" xfId="45" applyNumberFormat="1" applyFont="1" applyFill="1" applyBorder="1" applyAlignment="1">
      <alignment horizontal="left" vertical="top" wrapText="1"/>
    </xf>
    <xf numFmtId="4" fontId="37" fillId="36" borderId="21" xfId="45" applyNumberFormat="1" applyFont="1" applyFill="1" applyBorder="1" applyAlignment="1">
      <alignment vertical="center" wrapText="1"/>
    </xf>
    <xf numFmtId="0" fontId="37" fillId="36" borderId="21" xfId="45" applyFont="1" applyFill="1" applyBorder="1" applyAlignment="1">
      <alignment horizontal="center" vertical="center" wrapText="1"/>
    </xf>
    <xf numFmtId="43" fontId="35" fillId="0" borderId="22" xfId="47" applyNumberFormat="1" applyFont="1" applyBorder="1" applyAlignment="1" applyProtection="1">
      <alignment vertical="center" wrapText="1"/>
    </xf>
    <xf numFmtId="43" fontId="35" fillId="0" borderId="19" xfId="47" applyNumberFormat="1" applyFont="1" applyBorder="1" applyAlignment="1" applyProtection="1">
      <alignment vertical="center" wrapText="1"/>
    </xf>
    <xf numFmtId="43" fontId="35" fillId="0" borderId="14" xfId="47" applyNumberFormat="1" applyFont="1" applyBorder="1" applyAlignment="1" applyProtection="1">
      <alignment vertical="center" wrapText="1"/>
    </xf>
    <xf numFmtId="0" fontId="22" fillId="36" borderId="0" xfId="45" applyFont="1" applyFill="1" applyAlignment="1">
      <alignment horizontal="left" vertical="center" wrapText="1"/>
    </xf>
    <xf numFmtId="0" fontId="22" fillId="36" borderId="22" xfId="45" applyFont="1" applyFill="1" applyBorder="1" applyAlignment="1">
      <alignment horizontal="right" vertical="center" wrapText="1"/>
    </xf>
    <xf numFmtId="43" fontId="35" fillId="0" borderId="22" xfId="47" applyNumberFormat="1" applyFont="1" applyBorder="1" applyAlignment="1" applyProtection="1">
      <alignment horizontal="right" vertical="center" wrapText="1"/>
    </xf>
    <xf numFmtId="43" fontId="35" fillId="0" borderId="19" xfId="47" applyNumberFormat="1" applyFont="1" applyBorder="1" applyAlignment="1" applyProtection="1">
      <alignment horizontal="right" vertical="center" wrapText="1"/>
    </xf>
    <xf numFmtId="0" fontId="22" fillId="36" borderId="0" xfId="45" applyFont="1" applyFill="1" applyAlignment="1" applyProtection="1">
      <alignment horizontal="left" vertical="center" wrapText="1"/>
      <protection locked="0"/>
    </xf>
    <xf numFmtId="3" fontId="22" fillId="36" borderId="20" xfId="45" applyNumberFormat="1" applyFont="1" applyFill="1" applyBorder="1" applyAlignment="1" applyProtection="1">
      <alignment horizontal="left" vertical="center" wrapText="1"/>
      <protection locked="0"/>
    </xf>
    <xf numFmtId="4" fontId="35" fillId="0" borderId="20" xfId="47" applyNumberFormat="1" applyFont="1" applyBorder="1" applyAlignment="1" applyProtection="1">
      <alignment vertical="center" wrapText="1"/>
    </xf>
    <xf numFmtId="4" fontId="38" fillId="36" borderId="0" xfId="45" applyNumberFormat="1" applyFont="1" applyFill="1" applyAlignment="1">
      <alignment horizontal="center" vertical="top"/>
    </xf>
    <xf numFmtId="0" fontId="38" fillId="36" borderId="0" xfId="45" applyFont="1" applyFill="1" applyAlignment="1">
      <alignment horizontal="center" vertical="top" wrapText="1"/>
    </xf>
    <xf numFmtId="4" fontId="26" fillId="36" borderId="0" xfId="47" applyNumberFormat="1" applyFill="1" applyBorder="1" applyAlignment="1" applyProtection="1">
      <alignment horizontal="right" vertical="top"/>
    </xf>
    <xf numFmtId="0" fontId="26" fillId="36" borderId="0" xfId="45" applyFont="1" applyFill="1" applyAlignment="1">
      <alignment horizontal="left" vertical="top" wrapText="1"/>
    </xf>
    <xf numFmtId="0" fontId="26" fillId="36" borderId="0" xfId="45" applyFont="1" applyFill="1" applyAlignment="1">
      <alignment horizontal="right" vertical="top" wrapText="1"/>
    </xf>
    <xf numFmtId="0" fontId="26" fillId="36" borderId="0" xfId="45" applyFont="1" applyFill="1" applyAlignment="1" applyProtection="1">
      <alignment horizontal="left" vertical="top" wrapText="1"/>
      <protection locked="0"/>
    </xf>
    <xf numFmtId="4" fontId="26" fillId="0" borderId="0" xfId="45" applyNumberFormat="1" applyFont="1" applyAlignment="1">
      <alignment vertical="top" wrapText="1"/>
    </xf>
    <xf numFmtId="0" fontId="26" fillId="0" borderId="0" xfId="45" applyFont="1" applyAlignment="1">
      <alignment horizontal="center" vertical="top"/>
    </xf>
    <xf numFmtId="167" fontId="39" fillId="36" borderId="0" xfId="47" applyFont="1" applyFill="1" applyAlignment="1" applyProtection="1">
      <alignment vertical="top"/>
    </xf>
    <xf numFmtId="0" fontId="26" fillId="36" borderId="0" xfId="45" applyFont="1" applyFill="1"/>
    <xf numFmtId="0" fontId="26" fillId="0" borderId="0" xfId="45" applyFont="1" applyAlignment="1">
      <alignment horizontal="right"/>
    </xf>
    <xf numFmtId="0" fontId="26" fillId="36" borderId="0" xfId="45" applyFont="1" applyFill="1" applyProtection="1">
      <protection locked="0"/>
    </xf>
    <xf numFmtId="0" fontId="26" fillId="0" borderId="0" xfId="45" applyFont="1" applyProtection="1">
      <protection locked="0"/>
    </xf>
    <xf numFmtId="0" fontId="26" fillId="0" borderId="0" xfId="45" applyFont="1"/>
    <xf numFmtId="0" fontId="0" fillId="0" borderId="19" xfId="0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9" xfId="0" applyBorder="1"/>
    <xf numFmtId="0" fontId="0" fillId="0" borderId="19" xfId="0" applyBorder="1" applyAlignment="1">
      <alignment horizontal="right" vertical="center"/>
    </xf>
    <xf numFmtId="0" fontId="0" fillId="0" borderId="14" xfId="0" applyBorder="1" applyAlignment="1">
      <alignment vertical="center"/>
    </xf>
    <xf numFmtId="0" fontId="16" fillId="35" borderId="19" xfId="0" applyFont="1" applyFill="1" applyBorder="1" applyAlignment="1">
      <alignment horizontal="center" vertical="center"/>
    </xf>
    <xf numFmtId="0" fontId="16" fillId="35" borderId="19" xfId="0" applyFont="1" applyFill="1" applyBorder="1" applyAlignment="1">
      <alignment horizontal="center"/>
    </xf>
    <xf numFmtId="0" fontId="25" fillId="35" borderId="19" xfId="0" applyFont="1" applyFill="1" applyBorder="1" applyAlignment="1">
      <alignment horizontal="center" vertical="center" wrapText="1"/>
    </xf>
    <xf numFmtId="0" fontId="25" fillId="0" borderId="19" xfId="0" applyFont="1" applyBorder="1" applyAlignment="1">
      <alignment horizontal="left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justify" vertical="center" wrapText="1"/>
    </xf>
    <xf numFmtId="0" fontId="27" fillId="0" borderId="19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0" fillId="0" borderId="19" xfId="0" applyBorder="1" applyAlignment="1">
      <alignment vertical="top" wrapText="1"/>
    </xf>
    <xf numFmtId="0" fontId="25" fillId="0" borderId="19" xfId="0" applyFont="1" applyBorder="1" applyAlignment="1">
      <alignment vertical="center" wrapText="1"/>
    </xf>
    <xf numFmtId="0" fontId="25" fillId="0" borderId="19" xfId="0" applyFont="1" applyBorder="1" applyAlignment="1">
      <alignment horizontal="justify" vertical="center" wrapText="1"/>
    </xf>
    <xf numFmtId="0" fontId="0" fillId="0" borderId="13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43" fillId="36" borderId="23" xfId="0" applyFont="1" applyFill="1" applyBorder="1" applyAlignment="1">
      <alignment vertical="center"/>
    </xf>
    <xf numFmtId="0" fontId="43" fillId="36" borderId="0" xfId="0" applyFont="1" applyFill="1" applyBorder="1" applyAlignment="1">
      <alignment vertical="center"/>
    </xf>
    <xf numFmtId="0" fontId="43" fillId="36" borderId="0" xfId="0" applyFont="1" applyFill="1" applyBorder="1"/>
    <xf numFmtId="0" fontId="43" fillId="36" borderId="24" xfId="0" applyFont="1" applyFill="1" applyBorder="1" applyAlignment="1">
      <alignment vertical="center"/>
    </xf>
    <xf numFmtId="0" fontId="43" fillId="36" borderId="13" xfId="0" applyFont="1" applyFill="1" applyBorder="1" applyAlignment="1">
      <alignment vertical="center"/>
    </xf>
    <xf numFmtId="0" fontId="43" fillId="36" borderId="13" xfId="0" applyFont="1" applyFill="1" applyBorder="1"/>
    <xf numFmtId="0" fontId="0" fillId="36" borderId="20" xfId="0" applyFill="1" applyBorder="1" applyAlignment="1">
      <alignment horizontal="center" vertical="center"/>
    </xf>
    <xf numFmtId="0" fontId="43" fillId="41" borderId="10" xfId="0" applyFont="1" applyFill="1" applyBorder="1" applyAlignment="1"/>
    <xf numFmtId="0" fontId="43" fillId="41" borderId="12" xfId="0" applyFont="1" applyFill="1" applyBorder="1" applyAlignment="1"/>
    <xf numFmtId="0" fontId="43" fillId="41" borderId="15" xfId="0" applyFont="1" applyFill="1" applyBorder="1" applyAlignment="1"/>
    <xf numFmtId="0" fontId="43" fillId="41" borderId="17" xfId="0" applyFont="1" applyFill="1" applyBorder="1" applyAlignment="1"/>
    <xf numFmtId="0" fontId="43" fillId="36" borderId="10" xfId="0" applyFont="1" applyFill="1" applyBorder="1" applyAlignment="1">
      <alignment vertical="center"/>
    </xf>
    <xf numFmtId="0" fontId="0" fillId="36" borderId="11" xfId="0" applyFill="1" applyBorder="1"/>
    <xf numFmtId="0" fontId="43" fillId="36" borderId="11" xfId="0" applyFont="1" applyFill="1" applyBorder="1" applyAlignment="1">
      <alignment vertical="center"/>
    </xf>
    <xf numFmtId="0" fontId="43" fillId="36" borderId="12" xfId="0" applyFont="1" applyFill="1" applyBorder="1" applyAlignment="1">
      <alignment vertical="center"/>
    </xf>
    <xf numFmtId="0" fontId="0" fillId="36" borderId="15" xfId="0" applyFill="1" applyBorder="1" applyAlignment="1">
      <alignment vertical="center"/>
    </xf>
    <xf numFmtId="0" fontId="0" fillId="36" borderId="16" xfId="0" applyFill="1" applyBorder="1" applyAlignment="1">
      <alignment vertical="center"/>
    </xf>
    <xf numFmtId="0" fontId="0" fillId="36" borderId="17" xfId="0" applyFill="1" applyBorder="1" applyAlignment="1">
      <alignment vertical="center"/>
    </xf>
    <xf numFmtId="0" fontId="40" fillId="36" borderId="0" xfId="0" applyFont="1" applyFill="1"/>
    <xf numFmtId="0" fontId="0" fillId="36" borderId="0" xfId="0" applyFill="1"/>
    <xf numFmtId="0" fontId="43" fillId="36" borderId="0" xfId="0" applyFont="1" applyFill="1" applyAlignment="1">
      <alignment vertical="center"/>
    </xf>
    <xf numFmtId="0" fontId="41" fillId="36" borderId="0" xfId="0" applyFont="1" applyFill="1"/>
    <xf numFmtId="0" fontId="0" fillId="36" borderId="0" xfId="0" applyFill="1" applyAlignment="1">
      <alignment horizontal="center" vertical="center"/>
    </xf>
    <xf numFmtId="0" fontId="13" fillId="43" borderId="28" xfId="0" applyFont="1" applyFill="1" applyBorder="1" applyAlignment="1">
      <alignment horizontal="center" vertical="center"/>
    </xf>
    <xf numFmtId="0" fontId="13" fillId="43" borderId="28" xfId="0" applyFont="1" applyFill="1" applyBorder="1" applyAlignment="1">
      <alignment horizontal="left" vertical="center" wrapText="1"/>
    </xf>
    <xf numFmtId="0" fontId="13" fillId="43" borderId="29" xfId="0" applyFont="1" applyFill="1" applyBorder="1" applyAlignment="1">
      <alignment horizontal="center" vertical="center"/>
    </xf>
    <xf numFmtId="0" fontId="0" fillId="42" borderId="28" xfId="0" applyNumberFormat="1" applyFont="1" applyFill="1" applyBorder="1" applyAlignment="1">
      <alignment horizontal="center" vertical="center"/>
    </xf>
    <xf numFmtId="0" fontId="0" fillId="42" borderId="28" xfId="0" applyNumberFormat="1" applyFont="1" applyFill="1" applyBorder="1" applyAlignment="1">
      <alignment horizontal="left" vertical="center" wrapText="1"/>
    </xf>
    <xf numFmtId="0" fontId="0" fillId="42" borderId="29" xfId="0" applyNumberFormat="1" applyFont="1" applyFill="1" applyBorder="1" applyAlignment="1">
      <alignment horizontal="left" vertical="center" wrapText="1"/>
    </xf>
    <xf numFmtId="0" fontId="0" fillId="0" borderId="28" xfId="0" applyNumberFormat="1" applyFont="1" applyBorder="1" applyAlignment="1">
      <alignment horizontal="center" vertical="center"/>
    </xf>
    <xf numFmtId="0" fontId="0" fillId="0" borderId="28" xfId="0" applyNumberFormat="1" applyFont="1" applyBorder="1" applyAlignment="1">
      <alignment horizontal="left" vertical="center" wrapText="1"/>
    </xf>
    <xf numFmtId="0" fontId="0" fillId="0" borderId="29" xfId="0" applyNumberFormat="1" applyFont="1" applyBorder="1" applyAlignment="1">
      <alignment horizontal="left" vertical="center" wrapText="1"/>
    </xf>
    <xf numFmtId="0" fontId="0" fillId="42" borderId="28" xfId="0" applyNumberFormat="1" applyFont="1" applyFill="1" applyBorder="1" applyAlignment="1">
      <alignment vertical="center"/>
    </xf>
    <xf numFmtId="0" fontId="18" fillId="0" borderId="29" xfId="0" applyNumberFormat="1" applyFont="1" applyBorder="1" applyAlignment="1">
      <alignment vertical="center" wrapText="1"/>
    </xf>
    <xf numFmtId="0" fontId="18" fillId="42" borderId="29" xfId="0" applyNumberFormat="1" applyFont="1" applyFill="1" applyBorder="1" applyAlignment="1">
      <alignment vertical="center" wrapText="1"/>
    </xf>
    <xf numFmtId="0" fontId="0" fillId="0" borderId="28" xfId="0" applyNumberFormat="1" applyFont="1" applyBorder="1"/>
    <xf numFmtId="0" fontId="0" fillId="0" borderId="29" xfId="0" applyNumberFormat="1" applyFont="1" applyBorder="1" applyAlignment="1">
      <alignment wrapText="1"/>
    </xf>
    <xf numFmtId="0" fontId="0" fillId="42" borderId="26" xfId="0" applyNumberFormat="1" applyFont="1" applyFill="1" applyBorder="1" applyAlignment="1">
      <alignment horizontal="center" vertical="center"/>
    </xf>
    <xf numFmtId="0" fontId="0" fillId="42" borderId="26" xfId="0" applyNumberFormat="1" applyFont="1" applyFill="1" applyBorder="1" applyAlignment="1">
      <alignment horizontal="left" vertical="center" wrapText="1"/>
    </xf>
    <xf numFmtId="0" fontId="0" fillId="42" borderId="30" xfId="0" applyNumberFormat="1" applyFont="1" applyFill="1" applyBorder="1" applyAlignment="1">
      <alignment horizontal="left" vertical="center" wrapText="1"/>
    </xf>
    <xf numFmtId="1" fontId="0" fillId="42" borderId="27" xfId="0" applyNumberFormat="1" applyFont="1" applyFill="1" applyBorder="1" applyAlignment="1">
      <alignment horizontal="center" vertical="center"/>
    </xf>
    <xf numFmtId="1" fontId="0" fillId="0" borderId="27" xfId="0" applyNumberFormat="1" applyFont="1" applyBorder="1" applyAlignment="1">
      <alignment horizontal="center" vertical="center"/>
    </xf>
    <xf numFmtId="1" fontId="0" fillId="42" borderId="25" xfId="0" applyNumberFormat="1" applyFont="1" applyFill="1" applyBorder="1" applyAlignment="1">
      <alignment horizontal="center" vertical="center"/>
    </xf>
    <xf numFmtId="0" fontId="0" fillId="44" borderId="22" xfId="0" applyFill="1" applyBorder="1" applyAlignment="1">
      <alignment horizontal="centerContinuous" vertical="center"/>
    </xf>
    <xf numFmtId="0" fontId="0" fillId="44" borderId="14" xfId="0" applyFill="1" applyBorder="1" applyAlignment="1">
      <alignment horizontal="centerContinuous" vertical="center"/>
    </xf>
    <xf numFmtId="0" fontId="0" fillId="44" borderId="19" xfId="0" applyFill="1" applyBorder="1" applyAlignment="1">
      <alignment horizontal="center" vertical="center"/>
    </xf>
    <xf numFmtId="0" fontId="0" fillId="45" borderId="22" xfId="0" applyFill="1" applyBorder="1" applyAlignment="1">
      <alignment horizontal="center" vertical="center"/>
    </xf>
    <xf numFmtId="0" fontId="0" fillId="45" borderId="22" xfId="0" applyFill="1" applyBorder="1" applyAlignment="1">
      <alignment horizontal="centerContinuous" vertical="center"/>
    </xf>
    <xf numFmtId="0" fontId="0" fillId="45" borderId="14" xfId="0" applyFill="1" applyBorder="1" applyAlignment="1">
      <alignment horizontal="centerContinuous" vertical="center"/>
    </xf>
    <xf numFmtId="0" fontId="0" fillId="45" borderId="14" xfId="0" applyFill="1" applyBorder="1" applyAlignment="1">
      <alignment horizontal="center" vertical="center"/>
    </xf>
    <xf numFmtId="0" fontId="0" fillId="45" borderId="19" xfId="0" applyFill="1" applyBorder="1" applyAlignment="1">
      <alignment horizontal="center" vertical="center"/>
    </xf>
    <xf numFmtId="0" fontId="40" fillId="44" borderId="22" xfId="0" applyFont="1" applyFill="1" applyBorder="1" applyAlignment="1">
      <alignment vertical="center"/>
    </xf>
    <xf numFmtId="0" fontId="40" fillId="44" borderId="21" xfId="0" applyFont="1" applyFill="1" applyBorder="1" applyAlignment="1">
      <alignment vertical="center"/>
    </xf>
    <xf numFmtId="0" fontId="40" fillId="44" borderId="14" xfId="0" applyFont="1" applyFill="1" applyBorder="1" applyAlignment="1">
      <alignment horizontal="right" vertical="center"/>
    </xf>
    <xf numFmtId="0" fontId="0" fillId="44" borderId="21" xfId="0" applyFill="1" applyBorder="1" applyAlignment="1">
      <alignment horizontal="centerContinuous" vertical="center"/>
    </xf>
    <xf numFmtId="0" fontId="0" fillId="44" borderId="22" xfId="0" applyFill="1" applyBorder="1" applyAlignment="1"/>
    <xf numFmtId="0" fontId="0" fillId="44" borderId="21" xfId="0" applyFill="1" applyBorder="1" applyAlignment="1"/>
    <xf numFmtId="0" fontId="0" fillId="44" borderId="14" xfId="0" applyFill="1" applyBorder="1" applyAlignment="1"/>
    <xf numFmtId="0" fontId="0" fillId="44" borderId="14" xfId="0" applyFill="1" applyBorder="1" applyAlignment="1">
      <alignment horizontal="center"/>
    </xf>
    <xf numFmtId="0" fontId="0" fillId="44" borderId="19" xfId="0" applyFill="1" applyBorder="1" applyAlignment="1">
      <alignment horizontal="center"/>
    </xf>
    <xf numFmtId="0" fontId="0" fillId="44" borderId="0" xfId="0" applyFill="1"/>
    <xf numFmtId="0" fontId="0" fillId="46" borderId="0" xfId="0" applyFill="1"/>
    <xf numFmtId="2" fontId="19" fillId="33" borderId="18" xfId="42" applyNumberFormat="1" applyFont="1" applyFill="1" applyBorder="1" applyAlignment="1">
      <alignment horizontal="center" vertical="top" wrapText="1"/>
    </xf>
    <xf numFmtId="2" fontId="23" fillId="0" borderId="18" xfId="42" applyNumberFormat="1" applyFont="1" applyBorder="1" applyAlignment="1">
      <alignment horizontal="center" vertical="top" wrapText="1"/>
    </xf>
    <xf numFmtId="2" fontId="23" fillId="34" borderId="18" xfId="42" applyNumberFormat="1" applyFont="1" applyFill="1" applyBorder="1" applyAlignment="1">
      <alignment horizontal="center" vertical="top" wrapText="1"/>
    </xf>
    <xf numFmtId="2" fontId="23" fillId="34" borderId="20" xfId="42" applyNumberFormat="1" applyFont="1" applyFill="1" applyBorder="1" applyAlignment="1">
      <alignment horizontal="center" vertical="top" wrapText="1"/>
    </xf>
    <xf numFmtId="2" fontId="19" fillId="33" borderId="18" xfId="43" applyNumberFormat="1" applyFont="1" applyFill="1" applyBorder="1" applyAlignment="1">
      <alignment horizontal="center" vertical="top" wrapText="1"/>
    </xf>
    <xf numFmtId="2" fontId="23" fillId="0" borderId="18" xfId="43" applyNumberFormat="1" applyFont="1" applyBorder="1" applyAlignment="1">
      <alignment horizontal="center" vertical="top" wrapText="1"/>
    </xf>
    <xf numFmtId="2" fontId="23" fillId="34" borderId="18" xfId="43" applyNumberFormat="1" applyFont="1" applyFill="1" applyBorder="1" applyAlignment="1">
      <alignment horizontal="center" vertical="top" wrapText="1"/>
    </xf>
    <xf numFmtId="2" fontId="19" fillId="34" borderId="18" xfId="43" applyNumberFormat="1" applyFont="1" applyFill="1" applyBorder="1" applyAlignment="1">
      <alignment horizontal="center" vertical="top" wrapText="1"/>
    </xf>
    <xf numFmtId="2" fontId="19" fillId="0" borderId="18" xfId="43" applyNumberFormat="1" applyFont="1" applyBorder="1" applyAlignment="1">
      <alignment horizontal="center" vertical="top" wrapText="1"/>
    </xf>
    <xf numFmtId="2" fontId="23" fillId="34" borderId="20" xfId="43" applyNumberFormat="1" applyFont="1" applyFill="1" applyBorder="1" applyAlignment="1">
      <alignment horizontal="center" vertical="top" wrapText="1"/>
    </xf>
    <xf numFmtId="2" fontId="22" fillId="0" borderId="18" xfId="44" applyNumberFormat="1" applyFont="1" applyBorder="1" applyAlignment="1">
      <alignment horizontal="right" vertical="top"/>
    </xf>
    <xf numFmtId="2" fontId="22" fillId="34" borderId="18" xfId="44" applyNumberFormat="1" applyFont="1" applyFill="1" applyBorder="1" applyAlignment="1">
      <alignment horizontal="right" vertical="top"/>
    </xf>
    <xf numFmtId="2" fontId="22" fillId="33" borderId="18" xfId="44" applyNumberFormat="1" applyFont="1" applyFill="1" applyBorder="1" applyAlignment="1">
      <alignment horizontal="right" vertical="top"/>
    </xf>
    <xf numFmtId="2" fontId="32" fillId="36" borderId="0" xfId="45" applyNumberFormat="1" applyFont="1" applyFill="1"/>
    <xf numFmtId="2" fontId="21" fillId="36" borderId="0" xfId="45" applyNumberFormat="1" applyFont="1" applyFill="1"/>
    <xf numFmtId="2" fontId="35" fillId="36" borderId="0" xfId="45" applyNumberFormat="1" applyFont="1" applyFill="1" applyAlignment="1">
      <alignment vertical="top" wrapText="1"/>
    </xf>
    <xf numFmtId="2" fontId="34" fillId="37" borderId="10" xfId="45" applyNumberFormat="1" applyFont="1" applyFill="1" applyBorder="1" applyAlignment="1">
      <alignment horizontal="left"/>
    </xf>
    <xf numFmtId="2" fontId="34" fillId="37" borderId="15" xfId="45" applyNumberFormat="1" applyFont="1" applyFill="1" applyBorder="1" applyAlignment="1">
      <alignment vertical="center" wrapText="1"/>
    </xf>
    <xf numFmtId="2" fontId="34" fillId="37" borderId="19" xfId="47" applyNumberFormat="1" applyFont="1" applyFill="1" applyBorder="1" applyAlignment="1" applyProtection="1">
      <alignment horizontal="center" vertical="center"/>
    </xf>
    <xf numFmtId="2" fontId="22" fillId="0" borderId="18" xfId="44" applyNumberFormat="1" applyFont="1" applyBorder="1" applyAlignment="1">
      <alignment horizontal="center" vertical="top"/>
    </xf>
    <xf numFmtId="2" fontId="22" fillId="33" borderId="18" xfId="44" applyNumberFormat="1" applyFont="1" applyFill="1" applyBorder="1" applyAlignment="1">
      <alignment horizontal="center" vertical="top"/>
    </xf>
    <xf numFmtId="2" fontId="22" fillId="34" borderId="20" xfId="44" applyNumberFormat="1" applyFont="1" applyFill="1" applyBorder="1" applyAlignment="1">
      <alignment horizontal="right" vertical="top"/>
    </xf>
    <xf numFmtId="2" fontId="22" fillId="40" borderId="20" xfId="47" applyNumberFormat="1" applyFont="1" applyFill="1" applyBorder="1" applyAlignment="1" applyProtection="1">
      <alignment horizontal="right" vertical="top" wrapText="1"/>
    </xf>
    <xf numFmtId="2" fontId="35" fillId="36" borderId="14" xfId="47" applyNumberFormat="1" applyFont="1" applyFill="1" applyBorder="1" applyAlignment="1" applyProtection="1">
      <alignment vertical="center" wrapText="1"/>
    </xf>
    <xf numFmtId="2" fontId="26" fillId="36" borderId="0" xfId="47" applyNumberFormat="1" applyFill="1" applyBorder="1" applyAlignment="1" applyProtection="1">
      <alignment horizontal="right" vertical="top"/>
    </xf>
    <xf numFmtId="2" fontId="39" fillId="36" borderId="0" xfId="47" applyNumberFormat="1" applyFont="1" applyFill="1" applyAlignment="1" applyProtection="1">
      <alignment vertical="top"/>
    </xf>
    <xf numFmtId="2" fontId="30" fillId="36" borderId="0" xfId="45" applyNumberFormat="1" applyFont="1" applyFill="1" applyAlignment="1">
      <alignment horizontal="left" vertical="top"/>
    </xf>
    <xf numFmtId="2" fontId="25" fillId="36" borderId="0" xfId="46" applyNumberFormat="1" applyFont="1" applyFill="1" applyAlignment="1">
      <alignment horizontal="left" vertical="center"/>
    </xf>
    <xf numFmtId="2" fontId="34" fillId="37" borderId="13" xfId="45" applyNumberFormat="1" applyFont="1" applyFill="1" applyBorder="1" applyAlignment="1">
      <alignment vertical="center"/>
    </xf>
    <xf numFmtId="2" fontId="34" fillId="37" borderId="18" xfId="45" applyNumberFormat="1" applyFont="1" applyFill="1" applyBorder="1" applyAlignment="1">
      <alignment horizontal="center" vertical="center"/>
    </xf>
    <xf numFmtId="2" fontId="34" fillId="37" borderId="20" xfId="45" applyNumberFormat="1" applyFont="1" applyFill="1" applyBorder="1" applyAlignment="1">
      <alignment vertical="center"/>
    </xf>
    <xf numFmtId="2" fontId="19" fillId="0" borderId="18" xfId="42" applyNumberFormat="1" applyFont="1" applyBorder="1" applyAlignment="1">
      <alignment horizontal="center" vertical="top" wrapText="1"/>
    </xf>
    <xf numFmtId="2" fontId="33" fillId="36" borderId="20" xfId="45" applyNumberFormat="1" applyFont="1" applyFill="1" applyBorder="1" applyAlignment="1">
      <alignment horizontal="center" vertical="top" wrapText="1"/>
    </xf>
    <xf numFmtId="2" fontId="22" fillId="36" borderId="22" xfId="45" applyNumberFormat="1" applyFont="1" applyFill="1" applyBorder="1" applyAlignment="1">
      <alignment horizontal="left" vertical="center" wrapText="1"/>
    </xf>
    <xf numFmtId="2" fontId="38" fillId="36" borderId="0" xfId="45" applyNumberFormat="1" applyFont="1" applyFill="1" applyAlignment="1">
      <alignment horizontal="center" vertical="top"/>
    </xf>
    <xf numFmtId="2" fontId="26" fillId="36" borderId="0" xfId="45" applyNumberFormat="1" applyFont="1" applyFill="1" applyAlignment="1">
      <alignment horizontal="center" vertical="top"/>
    </xf>
    <xf numFmtId="0" fontId="30" fillId="36" borderId="0" xfId="45" applyNumberFormat="1" applyFont="1" applyFill="1" applyAlignment="1">
      <alignment horizontal="left" vertical="center" wrapText="1"/>
    </xf>
    <xf numFmtId="0" fontId="20" fillId="36" borderId="0" xfId="45" applyNumberFormat="1" applyFont="1" applyFill="1" applyAlignment="1">
      <alignment vertical="center" wrapText="1"/>
    </xf>
    <xf numFmtId="0" fontId="35" fillId="36" borderId="0" xfId="45" applyNumberFormat="1" applyFont="1" applyFill="1" applyAlignment="1">
      <alignment vertical="top" wrapText="1"/>
    </xf>
    <xf numFmtId="0" fontId="34" fillId="37" borderId="13" xfId="45" applyNumberFormat="1" applyFont="1" applyFill="1" applyBorder="1" applyAlignment="1">
      <alignment horizontal="center" vertical="center" wrapText="1"/>
    </xf>
    <xf numFmtId="0" fontId="34" fillId="37" borderId="18" xfId="45" applyNumberFormat="1" applyFont="1" applyFill="1" applyBorder="1" applyAlignment="1">
      <alignment horizontal="center" vertical="center" wrapText="1"/>
    </xf>
    <xf numFmtId="0" fontId="34" fillId="37" borderId="20" xfId="45" applyNumberFormat="1" applyFont="1" applyFill="1" applyBorder="1" applyAlignment="1">
      <alignment vertical="center" wrapText="1"/>
    </xf>
    <xf numFmtId="0" fontId="20" fillId="0" borderId="18" xfId="42" applyNumberFormat="1" applyFont="1" applyBorder="1" applyAlignment="1">
      <alignment horizontal="left" vertical="top" wrapText="1"/>
    </xf>
    <xf numFmtId="0" fontId="20" fillId="33" borderId="18" xfId="42" applyNumberFormat="1" applyFont="1" applyFill="1" applyBorder="1" applyAlignment="1">
      <alignment horizontal="left" vertical="top" wrapText="1"/>
    </xf>
    <xf numFmtId="0" fontId="24" fillId="0" borderId="18" xfId="42" applyNumberFormat="1" applyFont="1" applyBorder="1" applyAlignment="1">
      <alignment horizontal="left" vertical="top" wrapText="1"/>
    </xf>
    <xf numFmtId="0" fontId="24" fillId="34" borderId="18" xfId="42" applyNumberFormat="1" applyFont="1" applyFill="1" applyBorder="1" applyAlignment="1">
      <alignment horizontal="left" vertical="top" wrapText="1"/>
    </xf>
    <xf numFmtId="0" fontId="24" fillId="34" borderId="20" xfId="42" applyNumberFormat="1" applyFont="1" applyFill="1" applyBorder="1" applyAlignment="1">
      <alignment horizontal="left" vertical="top" wrapText="1"/>
    </xf>
    <xf numFmtId="0" fontId="20" fillId="33" borderId="18" xfId="43" applyNumberFormat="1" applyFont="1" applyFill="1" applyBorder="1" applyAlignment="1">
      <alignment horizontal="justify" vertical="top" wrapText="1"/>
    </xf>
    <xf numFmtId="0" fontId="24" fillId="0" borderId="18" xfId="43" applyNumberFormat="1" applyFont="1" applyBorder="1" applyAlignment="1">
      <alignment horizontal="justify" vertical="top" wrapText="1"/>
    </xf>
    <xf numFmtId="0" fontId="24" fillId="34" borderId="18" xfId="43" applyNumberFormat="1" applyFont="1" applyFill="1" applyBorder="1" applyAlignment="1">
      <alignment horizontal="justify" vertical="top" wrapText="1"/>
    </xf>
    <xf numFmtId="0" fontId="22" fillId="34" borderId="20" xfId="43" applyNumberFormat="1" applyFont="1" applyFill="1" applyBorder="1" applyAlignment="1">
      <alignment horizontal="justify" vertical="top" wrapText="1"/>
    </xf>
    <xf numFmtId="0" fontId="22" fillId="34" borderId="18" xfId="43" applyNumberFormat="1" applyFont="1" applyFill="1" applyBorder="1" applyAlignment="1">
      <alignment horizontal="justify" vertical="top" wrapText="1"/>
    </xf>
    <xf numFmtId="0" fontId="24" fillId="34" borderId="20" xfId="43" applyNumberFormat="1" applyFont="1" applyFill="1" applyBorder="1" applyAlignment="1">
      <alignment horizontal="justify" vertical="top" wrapText="1"/>
    </xf>
    <xf numFmtId="0" fontId="33" fillId="40" borderId="20" xfId="45" applyNumberFormat="1" applyFont="1" applyFill="1" applyBorder="1" applyAlignment="1">
      <alignment horizontal="justify" vertical="top" wrapText="1"/>
    </xf>
    <xf numFmtId="0" fontId="37" fillId="36" borderId="21" xfId="45" applyNumberFormat="1" applyFont="1" applyFill="1" applyBorder="1" applyAlignment="1">
      <alignment horizontal="justify" vertical="center" wrapText="1"/>
    </xf>
    <xf numFmtId="0" fontId="38" fillId="36" borderId="0" xfId="45" applyNumberFormat="1" applyFont="1" applyFill="1" applyAlignment="1">
      <alignment horizontal="justify" vertical="top" wrapText="1"/>
    </xf>
    <xf numFmtId="0" fontId="26" fillId="0" borderId="0" xfId="45" applyNumberFormat="1" applyFont="1" applyAlignment="1">
      <alignment horizontal="justify" vertical="top" wrapText="1"/>
    </xf>
    <xf numFmtId="0" fontId="0" fillId="47" borderId="20" xfId="0" applyFill="1" applyBorder="1" applyAlignment="1">
      <alignment horizontal="center" vertical="center"/>
    </xf>
    <xf numFmtId="0" fontId="47" fillId="36" borderId="20" xfId="0" applyFont="1" applyFill="1" applyBorder="1" applyAlignment="1">
      <alignment horizontal="left" vertical="center" wrapText="1"/>
    </xf>
    <xf numFmtId="0" fontId="45" fillId="0" borderId="20" xfId="0" applyFont="1" applyBorder="1" applyAlignment="1">
      <alignment vertical="center" wrapText="1"/>
    </xf>
    <xf numFmtId="1" fontId="13" fillId="43" borderId="27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13" fillId="43" borderId="28" xfId="0" applyNumberFormat="1" applyFont="1" applyFill="1" applyBorder="1" applyAlignment="1">
      <alignment horizontal="center" vertical="center"/>
    </xf>
    <xf numFmtId="1" fontId="0" fillId="42" borderId="28" xfId="0" applyNumberFormat="1" applyFont="1" applyFill="1" applyBorder="1" applyAlignment="1">
      <alignment horizontal="center" vertical="center"/>
    </xf>
    <xf numFmtId="1" fontId="0" fillId="0" borderId="28" xfId="0" applyNumberFormat="1" applyFont="1" applyBorder="1" applyAlignment="1">
      <alignment horizontal="center" vertical="center"/>
    </xf>
    <xf numFmtId="1" fontId="0" fillId="0" borderId="28" xfId="0" applyNumberFormat="1" applyFont="1" applyBorder="1"/>
    <xf numFmtId="1" fontId="0" fillId="42" borderId="26" xfId="0" applyNumberFormat="1" applyFont="1" applyFill="1" applyBorder="1" applyAlignment="1">
      <alignment horizontal="center" vertical="center"/>
    </xf>
    <xf numFmtId="14" fontId="0" fillId="47" borderId="20" xfId="0" applyNumberFormat="1" applyFill="1" applyBorder="1" applyAlignment="1">
      <alignment horizontal="center" vertical="center"/>
    </xf>
    <xf numFmtId="0" fontId="48" fillId="48" borderId="18" xfId="43" applyNumberFormat="1" applyFont="1" applyFill="1" applyBorder="1" applyAlignment="1">
      <alignment horizontal="justify" vertical="top" wrapText="1"/>
    </xf>
    <xf numFmtId="0" fontId="20" fillId="48" borderId="18" xfId="42" applyNumberFormat="1" applyFont="1" applyFill="1" applyBorder="1" applyAlignment="1">
      <alignment horizontal="left" vertical="top" wrapText="1"/>
    </xf>
    <xf numFmtId="0" fontId="48" fillId="48" borderId="18" xfId="42" applyNumberFormat="1" applyFont="1" applyFill="1" applyBorder="1" applyAlignment="1">
      <alignment horizontal="left" vertical="top" wrapText="1"/>
    </xf>
    <xf numFmtId="43" fontId="40" fillId="0" borderId="19" xfId="48" applyFont="1" applyBorder="1" applyAlignment="1">
      <alignment horizontal="right" vertical="center"/>
    </xf>
    <xf numFmtId="43" fontId="0" fillId="0" borderId="19" xfId="48" applyFont="1" applyBorder="1" applyAlignment="1">
      <alignment horizontal="right" vertical="center"/>
    </xf>
    <xf numFmtId="0" fontId="44" fillId="36" borderId="0" xfId="0" applyFont="1" applyFill="1" applyAlignment="1">
      <alignment horizontal="center"/>
    </xf>
    <xf numFmtId="0" fontId="0" fillId="47" borderId="19" xfId="0" applyFill="1" applyBorder="1" applyAlignment="1">
      <alignment horizontal="center" vertical="center"/>
    </xf>
    <xf numFmtId="0" fontId="0" fillId="47" borderId="19" xfId="0" applyFill="1" applyBorder="1" applyAlignment="1">
      <alignment horizontal="left" vertical="center"/>
    </xf>
    <xf numFmtId="0" fontId="0" fillId="49" borderId="0" xfId="0" applyFill="1"/>
    <xf numFmtId="0" fontId="49" fillId="0" borderId="0" xfId="0" applyFont="1" applyBorder="1"/>
    <xf numFmtId="0" fontId="51" fillId="0" borderId="0" xfId="0" applyFont="1" applyBorder="1"/>
    <xf numFmtId="0" fontId="50" fillId="50" borderId="19" xfId="0" applyFont="1" applyFill="1" applyBorder="1" applyAlignment="1">
      <alignment horizontal="center" vertical="center"/>
    </xf>
    <xf numFmtId="0" fontId="50" fillId="50" borderId="19" xfId="0" applyFont="1" applyFill="1" applyBorder="1" applyAlignment="1">
      <alignment horizontal="center"/>
    </xf>
    <xf numFmtId="0" fontId="50" fillId="0" borderId="19" xfId="0" applyFont="1" applyFill="1" applyBorder="1" applyAlignment="1">
      <alignment horizontal="center"/>
    </xf>
    <xf numFmtId="0" fontId="49" fillId="0" borderId="19" xfId="0" applyFont="1" applyBorder="1"/>
    <xf numFmtId="0" fontId="0" fillId="49" borderId="0" xfId="0" applyFill="1" applyAlignment="1">
      <alignment horizontal="center" vertical="center"/>
    </xf>
    <xf numFmtId="0" fontId="46" fillId="36" borderId="15" xfId="0" applyFont="1" applyFill="1" applyBorder="1" applyAlignment="1">
      <alignment horizontal="left" vertical="center" wrapText="1"/>
    </xf>
    <xf numFmtId="0" fontId="46" fillId="36" borderId="16" xfId="0" applyFont="1" applyFill="1" applyBorder="1" applyAlignment="1">
      <alignment horizontal="left" vertical="center" wrapText="1"/>
    </xf>
    <xf numFmtId="0" fontId="46" fillId="36" borderId="17" xfId="0" applyFont="1" applyFill="1" applyBorder="1" applyAlignment="1">
      <alignment horizontal="left" vertical="center" wrapText="1"/>
    </xf>
    <xf numFmtId="0" fontId="45" fillId="0" borderId="20" xfId="0" applyFont="1" applyBorder="1" applyAlignment="1">
      <alignment vertical="center" wrapText="1"/>
    </xf>
    <xf numFmtId="0" fontId="0" fillId="47" borderId="15" xfId="0" applyFill="1" applyBorder="1" applyAlignment="1">
      <alignment horizontal="left" vertical="center"/>
    </xf>
    <xf numFmtId="0" fontId="0" fillId="47" borderId="16" xfId="0" applyFill="1" applyBorder="1" applyAlignment="1">
      <alignment horizontal="left" vertical="center"/>
    </xf>
    <xf numFmtId="0" fontId="0" fillId="47" borderId="17" xfId="0" applyFill="1" applyBorder="1" applyAlignment="1">
      <alignment horizontal="left" vertical="center"/>
    </xf>
    <xf numFmtId="0" fontId="0" fillId="47" borderId="15" xfId="0" applyFill="1" applyBorder="1" applyAlignment="1">
      <alignment horizontal="left" vertical="top" wrapText="1"/>
    </xf>
    <xf numFmtId="0" fontId="0" fillId="47" borderId="16" xfId="0" applyFill="1" applyBorder="1" applyAlignment="1">
      <alignment horizontal="left" vertical="top" wrapText="1"/>
    </xf>
    <xf numFmtId="0" fontId="0" fillId="47" borderId="17" xfId="0" applyFill="1" applyBorder="1" applyAlignment="1">
      <alignment horizontal="left" vertical="top" wrapText="1"/>
    </xf>
    <xf numFmtId="0" fontId="0" fillId="47" borderId="15" xfId="0" applyFill="1" applyBorder="1" applyAlignment="1">
      <alignment horizontal="left" vertical="center" wrapText="1"/>
    </xf>
    <xf numFmtId="0" fontId="0" fillId="47" borderId="17" xfId="0" applyFill="1" applyBorder="1" applyAlignment="1">
      <alignment horizontal="left" vertical="center" wrapText="1"/>
    </xf>
    <xf numFmtId="0" fontId="0" fillId="47" borderId="22" xfId="0" applyFill="1" applyBorder="1" applyAlignment="1">
      <alignment horizontal="left" vertical="top" wrapText="1"/>
    </xf>
    <xf numFmtId="0" fontId="0" fillId="47" borderId="21" xfId="0" applyFill="1" applyBorder="1" applyAlignment="1">
      <alignment horizontal="left" vertical="top" wrapText="1"/>
    </xf>
    <xf numFmtId="0" fontId="0" fillId="47" borderId="14" xfId="0" applyFill="1" applyBorder="1" applyAlignment="1">
      <alignment horizontal="left" vertical="top" wrapText="1"/>
    </xf>
    <xf numFmtId="0" fontId="34" fillId="38" borderId="10" xfId="45" applyFont="1" applyFill="1" applyBorder="1" applyAlignment="1">
      <alignment horizontal="center" vertical="center" wrapText="1"/>
    </xf>
    <xf numFmtId="0" fontId="34" fillId="38" borderId="12" xfId="45" applyFont="1" applyFill="1" applyBorder="1" applyAlignment="1">
      <alignment horizontal="center" vertical="center" wrapText="1"/>
    </xf>
    <xf numFmtId="0" fontId="34" fillId="38" borderId="15" xfId="45" applyFont="1" applyFill="1" applyBorder="1" applyAlignment="1">
      <alignment horizontal="center" vertical="center" wrapText="1"/>
    </xf>
    <xf numFmtId="0" fontId="34" fillId="38" borderId="17" xfId="45" applyFont="1" applyFill="1" applyBorder="1" applyAlignment="1">
      <alignment horizontal="center" vertical="center" wrapText="1"/>
    </xf>
    <xf numFmtId="0" fontId="34" fillId="38" borderId="10" xfId="45" applyFont="1" applyFill="1" applyBorder="1" applyAlignment="1">
      <alignment horizontal="center" vertical="center"/>
    </xf>
    <xf numFmtId="0" fontId="34" fillId="38" borderId="12" xfId="45" applyFont="1" applyFill="1" applyBorder="1" applyAlignment="1">
      <alignment horizontal="center" vertical="center"/>
    </xf>
    <xf numFmtId="0" fontId="25" fillId="0" borderId="19" xfId="0" applyFont="1" applyBorder="1" applyAlignment="1">
      <alignment horizontal="left" vertical="center" wrapText="1"/>
    </xf>
  </cellXfs>
  <cellStyles count="49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rmal 11 2" xfId="43" xr:uid="{B7B57D69-3799-47E1-B114-2BBF631CBEDE}"/>
    <cellStyle name="Normal 15" xfId="42" xr:uid="{9CB914EE-85FB-4601-A890-6F3BEB68E7EF}"/>
    <cellStyle name="Normal 2" xfId="46" xr:uid="{C423BD25-04DC-4FA4-831D-FB8D7DE0F360}"/>
    <cellStyle name="Normal 3 2" xfId="45" xr:uid="{6A1764D7-EDBB-4430-92A8-4AC664E82CA7}"/>
    <cellStyle name="Normal_PROPONENTE" xfId="44" xr:uid="{843A4227-446A-4142-9421-CA7DF9A0F3AA}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8" builtinId="3"/>
    <cellStyle name="Vírgula 5" xfId="47" xr:uid="{AF731BAF-DB14-4FC7-94F2-AC7E19C3DC72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F6228"/>
      <color rgb="FFBFE3BF"/>
      <color rgb="FFC7E7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externalLink" Target="externalLinks/externalLink2.xml"/><Relationship Id="rId19" Type="http://schemas.openxmlformats.org/officeDocument/2006/relationships/externalLink" Target="externalLinks/externalLink1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22" fmlaLink="$B$37" fmlaRange="'Base Enderecos'!$B$2:$B$104" noThreeD="1" sel="13" val="10"/>
</file>

<file path=xl/ctrlProps/ctrlProp2.xml><?xml version="1.0" encoding="utf-8"?>
<formControlPr xmlns="http://schemas.microsoft.com/office/spreadsheetml/2009/9/main" objectType="Drop" dropStyle="combo" dx="22" fmlaLink="$F$7" fmlaRange="'Base Forms'!$B$2:$Y$255" noThreeD="1" sel="3" val="0"/>
</file>

<file path=xl/ctrlProps/ctrlProp3.xml><?xml version="1.0" encoding="utf-8"?>
<formControlPr xmlns="http://schemas.microsoft.com/office/spreadsheetml/2009/9/main" objectType="Drop" dropLines="12" dropStyle="combo" dx="22" fmlaLink="$G$28" fmlaRange="'Base PSP'!$A$9:$A$168" noThreeD="1" sel="17" val="11"/>
</file>

<file path=xl/ctrlProps/ctrlProp4.xml><?xml version="1.0" encoding="utf-8"?>
<formControlPr xmlns="http://schemas.microsoft.com/office/spreadsheetml/2009/9/main" objectType="Drop" dropLines="12" dropStyle="combo" dx="22" fmlaLink="$G$29" fmlaRange="'Base PSP'!$A$9:$A$168" noThreeD="1" sel="47" val="41"/>
</file>

<file path=xl/ctrlProps/ctrlProp5.xml><?xml version="1.0" encoding="utf-8"?>
<formControlPr xmlns="http://schemas.microsoft.com/office/spreadsheetml/2009/9/main" objectType="Drop" dropLines="12" dropStyle="combo" dx="22" fmlaLink="$G$30" fmlaRange="'Base PSP'!$A$9:$A$168" noThreeD="1" sel="65" val="61"/>
</file>

<file path=xl/ctrlProps/ctrlProp6.xml><?xml version="1.0" encoding="utf-8"?>
<formControlPr xmlns="http://schemas.microsoft.com/office/spreadsheetml/2009/9/main" objectType="Drop" dropLines="12" dropStyle="combo" dx="22" fmlaLink="$G$31" fmlaRange="'Base PSP'!$A$9:$A$168" noThreeD="1" sel="60" val="49"/>
</file>

<file path=xl/ctrlProps/ctrlProp7.xml><?xml version="1.0" encoding="utf-8"?>
<formControlPr xmlns="http://schemas.microsoft.com/office/spreadsheetml/2009/9/main" objectType="Drop" dropLines="12" dropStyle="combo" dx="22" fmlaLink="$G$32" fmlaRange="'Base PSP'!$A$9:$A$168" noThreeD="1" sel="153" val="148"/>
</file>

<file path=xl/ctrlProps/ctrlProp8.xml><?xml version="1.0" encoding="utf-8"?>
<formControlPr xmlns="http://schemas.microsoft.com/office/spreadsheetml/2009/9/main" objectType="Drop" dropLines="12" dropStyle="combo" dx="22" fmlaLink="$G$33" fmlaRange="'Base PSP'!$A$9:$A$168" noThreeD="1" sel="127" val="125"/>
</file>

<file path=xl/ctrlProps/ctrlProp9.xml><?xml version="1.0" encoding="utf-8"?>
<formControlPr xmlns="http://schemas.microsoft.com/office/spreadsheetml/2009/9/main" objectType="Drop" dropLines="12" dropStyle="combo" dx="22" fmlaLink="$G$34" fmlaRange="'Base PSP'!$A$9:$A$168" noThreeD="1" sel="129" val="120"/>
</file>

<file path=xl/ctrlProps/ctrlProp10.xml><?xml version="1.0" encoding="utf-8"?>
<formControlPr xmlns="http://schemas.microsoft.com/office/spreadsheetml/2009/9/main" objectType="Drop" dropLines="12" dropStyle="combo" dx="22" fmlaLink="$G$35" fmlaRange="'Base PSP'!$A$9:$A$168" noThreeD="1" sel="129" val="126"/>
</file>

<file path=xl/ctrlProps/ctrlProp11.xml><?xml version="1.0" encoding="utf-8"?>
<formControlPr xmlns="http://schemas.microsoft.com/office/spreadsheetml/2009/9/main" objectType="Drop" dropStyle="combo" dx="22" fmlaLink="$B$37" fmlaRange="'Base Enderecos'!$B$2:$B$104" noThreeD="1" sel="13" val="10"/>
</file>

<file path=xl/ctrlProps/ctrlProp12.xml><?xml version="1.0" encoding="utf-8"?>
<formControlPr xmlns="http://schemas.microsoft.com/office/spreadsheetml/2009/9/main" objectType="Drop" dropLines="12" dropStyle="combo" dx="22" fmlaLink="$G$28" fmlaRange="'Base PSP'!$A$9:$A$168" noThreeD="1" sel="9" val="6"/>
</file>

<file path=xl/ctrlProps/ctrlProp13.xml><?xml version="1.0" encoding="utf-8"?>
<formControlPr xmlns="http://schemas.microsoft.com/office/spreadsheetml/2009/9/main" objectType="Drop" dropLines="12" dropStyle="combo" dx="22" fmlaLink="$G$29" fmlaRange="'Base PSP'!$A$9:$A$168" noThreeD="1" sel="16" val="12"/>
</file>

<file path=xl/ctrlProps/ctrlProp14.xml><?xml version="1.0" encoding="utf-8"?>
<formControlPr xmlns="http://schemas.microsoft.com/office/spreadsheetml/2009/9/main" objectType="Drop" dropLines="12" dropStyle="combo" dx="22" fmlaLink="$G$30" fmlaRange="'Base PSP'!$A$9:$A$168" noThreeD="1" sel="37" val="32"/>
</file>

<file path=xl/ctrlProps/ctrlProp15.xml><?xml version="1.0" encoding="utf-8"?>
<formControlPr xmlns="http://schemas.microsoft.com/office/spreadsheetml/2009/9/main" objectType="Drop" dropLines="12" dropStyle="combo" dx="22" fmlaLink="$G$31" fmlaRange="'Base PSP'!$A$9:$A$168" noThreeD="1" sel="41" val="38"/>
</file>

<file path=xl/ctrlProps/ctrlProp16.xml><?xml version="1.0" encoding="utf-8"?>
<formControlPr xmlns="http://schemas.microsoft.com/office/spreadsheetml/2009/9/main" objectType="Drop" dropLines="12" dropStyle="combo" dx="22" fmlaLink="$G$32" fmlaRange="'Base PSP'!$A$9:$A$168" noThreeD="1" sel="153" val="148"/>
</file>

<file path=xl/ctrlProps/ctrlProp17.xml><?xml version="1.0" encoding="utf-8"?>
<formControlPr xmlns="http://schemas.microsoft.com/office/spreadsheetml/2009/9/main" objectType="Drop" dropLines="12" dropStyle="combo" dx="22" fmlaLink="$G$33" fmlaRange="'Base PSP'!$A$9:$A$168" noThreeD="1" sel="127" val="125"/>
</file>

<file path=xl/ctrlProps/ctrlProp18.xml><?xml version="1.0" encoding="utf-8"?>
<formControlPr xmlns="http://schemas.microsoft.com/office/spreadsheetml/2009/9/main" objectType="Drop" dropLines="12" dropStyle="combo" dx="22" fmlaLink="$G$34" fmlaRange="'Base PSP'!$A$9:$A$168" noThreeD="1" sel="129" val="120"/>
</file>

<file path=xl/ctrlProps/ctrlProp19.xml><?xml version="1.0" encoding="utf-8"?>
<formControlPr xmlns="http://schemas.microsoft.com/office/spreadsheetml/2009/9/main" objectType="Drop" dropLines="12" dropStyle="combo" dx="22" fmlaLink="$G$35" fmlaRange="'Base PSP'!$A$9:$A$168" noThreeD="1" sel="129" val="126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ES Forms'!A1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S Diversos'!A1"/><Relationship Id="rId2" Type="http://schemas.openxmlformats.org/officeDocument/2006/relationships/hyperlink" Target="#'ES Forms'!A1"/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ES Forms'!A1"/><Relationship Id="rId1" Type="http://schemas.openxmlformats.org/officeDocument/2006/relationships/hyperlink" Target="#Home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452438</xdr:colOff>
      <xdr:row>1</xdr:row>
      <xdr:rowOff>5953</xdr:rowOff>
    </xdr:to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" y="0"/>
          <a:ext cx="1059656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Home</a:t>
          </a:r>
        </a:p>
      </xdr:txBody>
    </xdr:sp>
    <xdr:clientData/>
  </xdr:twoCellAnchor>
  <xdr:twoCellAnchor>
    <xdr:from>
      <xdr:col>1</xdr:col>
      <xdr:colOff>488159</xdr:colOff>
      <xdr:row>0</xdr:row>
      <xdr:rowOff>0</xdr:rowOff>
    </xdr:from>
    <xdr:to>
      <xdr:col>3</xdr:col>
      <xdr:colOff>333378</xdr:colOff>
      <xdr:row>1</xdr:row>
      <xdr:rowOff>5953</xdr:rowOff>
    </xdr:to>
    <xdr:sp macro="" textlink="">
      <xdr:nvSpPr>
        <xdr:cNvPr id="3" name="CaixaDeText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5378" y="0"/>
          <a:ext cx="1059656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FORMS</a:t>
          </a:r>
          <a:endParaRPr lang="pt-BR">
            <a:effectLst/>
          </a:endParaRPr>
        </a:p>
      </xdr:txBody>
    </xdr:sp>
    <xdr:clientData/>
  </xdr:twoCellAnchor>
  <xdr:twoCellAnchor>
    <xdr:from>
      <xdr:col>3</xdr:col>
      <xdr:colOff>327427</xdr:colOff>
      <xdr:row>0</xdr:row>
      <xdr:rowOff>0</xdr:rowOff>
    </xdr:from>
    <xdr:to>
      <xdr:col>5</xdr:col>
      <xdr:colOff>172645</xdr:colOff>
      <xdr:row>1</xdr:row>
      <xdr:rowOff>5953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149083" y="0"/>
          <a:ext cx="1059656" cy="273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CARTÃO</a:t>
          </a:r>
        </a:p>
      </xdr:txBody>
    </xdr:sp>
    <xdr:clientData/>
  </xdr:twoCellAnchor>
  <xdr:twoCellAnchor>
    <xdr:from>
      <xdr:col>5</xdr:col>
      <xdr:colOff>144254</xdr:colOff>
      <xdr:row>0</xdr:row>
      <xdr:rowOff>0</xdr:rowOff>
    </xdr:from>
    <xdr:to>
      <xdr:col>6</xdr:col>
      <xdr:colOff>597606</xdr:colOff>
      <xdr:row>1</xdr:row>
      <xdr:rowOff>5953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84927" y="0"/>
          <a:ext cx="1061487" cy="2697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DIVERSOS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38</xdr:row>
          <xdr:rowOff>28575</xdr:rowOff>
        </xdr:from>
        <xdr:to>
          <xdr:col>0</xdr:col>
          <xdr:colOff>1019175</xdr:colOff>
          <xdr:row>39</xdr:row>
          <xdr:rowOff>0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370161</xdr:colOff>
          <xdr:row>9</xdr:row>
          <xdr:rowOff>12481</xdr:rowOff>
        </xdr:from>
        <xdr:to>
          <xdr:col>11</xdr:col>
          <xdr:colOff>138933</xdr:colOff>
          <xdr:row>9</xdr:row>
          <xdr:rowOff>212506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42</xdr:row>
      <xdr:rowOff>57150</xdr:rowOff>
    </xdr:from>
    <xdr:to>
      <xdr:col>2</xdr:col>
      <xdr:colOff>923925</xdr:colOff>
      <xdr:row>42</xdr:row>
      <xdr:rowOff>304800</xdr:rowOff>
    </xdr:to>
    <xdr:sp macro="[0]!Salvar2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0027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SALVAR</a:t>
          </a:r>
        </a:p>
      </xdr:txBody>
    </xdr:sp>
    <xdr:clientData/>
  </xdr:twoCellAnchor>
  <xdr:twoCellAnchor>
    <xdr:from>
      <xdr:col>3</xdr:col>
      <xdr:colOff>114300</xdr:colOff>
      <xdr:row>42</xdr:row>
      <xdr:rowOff>57150</xdr:rowOff>
    </xdr:from>
    <xdr:to>
      <xdr:col>3</xdr:col>
      <xdr:colOff>933450</xdr:colOff>
      <xdr:row>42</xdr:row>
      <xdr:rowOff>304800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57550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27</xdr:row>
          <xdr:rowOff>28575</xdr:rowOff>
        </xdr:from>
        <xdr:to>
          <xdr:col>0</xdr:col>
          <xdr:colOff>1009650</xdr:colOff>
          <xdr:row>28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</xdr:colOff>
      <xdr:row>0</xdr:row>
      <xdr:rowOff>0</xdr:rowOff>
    </xdr:from>
    <xdr:to>
      <xdr:col>1</xdr:col>
      <xdr:colOff>85726</xdr:colOff>
      <xdr:row>1</xdr:row>
      <xdr:rowOff>5953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" y="0"/>
          <a:ext cx="1133474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Home</a:t>
          </a:r>
        </a:p>
      </xdr:txBody>
    </xdr:sp>
    <xdr:clientData/>
  </xdr:twoCellAnchor>
  <xdr:twoCellAnchor>
    <xdr:from>
      <xdr:col>1</xdr:col>
      <xdr:colOff>40485</xdr:colOff>
      <xdr:row>0</xdr:row>
      <xdr:rowOff>0</xdr:rowOff>
    </xdr:from>
    <xdr:to>
      <xdr:col>2</xdr:col>
      <xdr:colOff>133351</xdr:colOff>
      <xdr:row>1</xdr:row>
      <xdr:rowOff>5953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088235" y="0"/>
          <a:ext cx="1140616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FORMS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144254</xdr:colOff>
      <xdr:row>0</xdr:row>
      <xdr:rowOff>0</xdr:rowOff>
    </xdr:from>
    <xdr:to>
      <xdr:col>3</xdr:col>
      <xdr:colOff>123825</xdr:colOff>
      <xdr:row>1</xdr:row>
      <xdr:rowOff>5953</xdr:rowOff>
    </xdr:to>
    <xdr:sp macro="" textlink="">
      <xdr:nvSpPr>
        <xdr:cNvPr id="10" name="CaixaDeText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239754" y="0"/>
          <a:ext cx="1027321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DIVERSOS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28</xdr:row>
          <xdr:rowOff>19050</xdr:rowOff>
        </xdr:from>
        <xdr:to>
          <xdr:col>0</xdr:col>
          <xdr:colOff>1009650</xdr:colOff>
          <xdr:row>28</xdr:row>
          <xdr:rowOff>219075</xdr:rowOff>
        </xdr:to>
        <xdr:sp macro="" textlink="">
          <xdr:nvSpPr>
            <xdr:cNvPr id="11279" name="Drop Dow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29</xdr:row>
          <xdr:rowOff>28575</xdr:rowOff>
        </xdr:from>
        <xdr:to>
          <xdr:col>0</xdr:col>
          <xdr:colOff>1009650</xdr:colOff>
          <xdr:row>30</xdr:row>
          <xdr:rowOff>0</xdr:rowOff>
        </xdr:to>
        <xdr:sp macro="" textlink="">
          <xdr:nvSpPr>
            <xdr:cNvPr id="11280" name="Drop Dow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1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30</xdr:row>
          <xdr:rowOff>28575</xdr:rowOff>
        </xdr:from>
        <xdr:to>
          <xdr:col>0</xdr:col>
          <xdr:colOff>1009650</xdr:colOff>
          <xdr:row>31</xdr:row>
          <xdr:rowOff>0</xdr:rowOff>
        </xdr:to>
        <xdr:sp macro="" textlink="">
          <xdr:nvSpPr>
            <xdr:cNvPr id="11281" name="Drop Dow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1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31</xdr:row>
          <xdr:rowOff>19050</xdr:rowOff>
        </xdr:from>
        <xdr:to>
          <xdr:col>0</xdr:col>
          <xdr:colOff>1009650</xdr:colOff>
          <xdr:row>31</xdr:row>
          <xdr:rowOff>219075</xdr:rowOff>
        </xdr:to>
        <xdr:sp macro="" textlink="">
          <xdr:nvSpPr>
            <xdr:cNvPr id="11282" name="Drop Dow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1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32</xdr:row>
          <xdr:rowOff>28575</xdr:rowOff>
        </xdr:from>
        <xdr:to>
          <xdr:col>0</xdr:col>
          <xdr:colOff>1009650</xdr:colOff>
          <xdr:row>33</xdr:row>
          <xdr:rowOff>0</xdr:rowOff>
        </xdr:to>
        <xdr:sp macro="" textlink="">
          <xdr:nvSpPr>
            <xdr:cNvPr id="11283" name="Drop Dow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1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33</xdr:row>
          <xdr:rowOff>28575</xdr:rowOff>
        </xdr:from>
        <xdr:to>
          <xdr:col>0</xdr:col>
          <xdr:colOff>1009650</xdr:colOff>
          <xdr:row>34</xdr:row>
          <xdr:rowOff>0</xdr:rowOff>
        </xdr:to>
        <xdr:sp macro="" textlink="">
          <xdr:nvSpPr>
            <xdr:cNvPr id="11284" name="Drop Dow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1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34</xdr:row>
          <xdr:rowOff>28575</xdr:rowOff>
        </xdr:from>
        <xdr:to>
          <xdr:col>0</xdr:col>
          <xdr:colOff>1009650</xdr:colOff>
          <xdr:row>35</xdr:row>
          <xdr:rowOff>0</xdr:rowOff>
        </xdr:to>
        <xdr:sp macro="" textlink="">
          <xdr:nvSpPr>
            <xdr:cNvPr id="11285" name="Drop Dow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1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619125</xdr:colOff>
      <xdr:row>42</xdr:row>
      <xdr:rowOff>47625</xdr:rowOff>
    </xdr:from>
    <xdr:to>
      <xdr:col>1</xdr:col>
      <xdr:colOff>781050</xdr:colOff>
      <xdr:row>42</xdr:row>
      <xdr:rowOff>295275</xdr:rowOff>
    </xdr:to>
    <xdr:sp macro="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619125" y="9963150"/>
          <a:ext cx="1209675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SELECIONAR</a:t>
          </a:r>
        </a:p>
      </xdr:txBody>
    </xdr:sp>
    <xdr:clientData/>
  </xdr:twoCellAnchor>
  <xdr:twoCellAnchor>
    <xdr:from>
      <xdr:col>5</xdr:col>
      <xdr:colOff>104775</xdr:colOff>
      <xdr:row>42</xdr:row>
      <xdr:rowOff>57150</xdr:rowOff>
    </xdr:from>
    <xdr:to>
      <xdr:col>5</xdr:col>
      <xdr:colOff>923925</xdr:colOff>
      <xdr:row>42</xdr:row>
      <xdr:rowOff>304800</xdr:rowOff>
    </xdr:to>
    <xdr:sp macro="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34352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IMPRIMIR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38</xdr:row>
          <xdr:rowOff>28575</xdr:rowOff>
        </xdr:from>
        <xdr:to>
          <xdr:col>0</xdr:col>
          <xdr:colOff>1019175</xdr:colOff>
          <xdr:row>39</xdr:row>
          <xdr:rowOff>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85725</xdr:colOff>
      <xdr:row>35</xdr:row>
      <xdr:rowOff>38100</xdr:rowOff>
    </xdr:from>
    <xdr:to>
      <xdr:col>1</xdr:col>
      <xdr:colOff>904875</xdr:colOff>
      <xdr:row>35</xdr:row>
      <xdr:rowOff>285750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33475" y="8477250"/>
          <a:ext cx="819150" cy="2476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SALVAR</a:t>
          </a:r>
        </a:p>
      </xdr:txBody>
    </xdr:sp>
    <xdr:clientData/>
  </xdr:twoCellAnchor>
  <xdr:twoCellAnchor>
    <xdr:from>
      <xdr:col>2</xdr:col>
      <xdr:colOff>133350</xdr:colOff>
      <xdr:row>35</xdr:row>
      <xdr:rowOff>38100</xdr:rowOff>
    </xdr:from>
    <xdr:to>
      <xdr:col>2</xdr:col>
      <xdr:colOff>952500</xdr:colOff>
      <xdr:row>35</xdr:row>
      <xdr:rowOff>285750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228850" y="8477250"/>
          <a:ext cx="819150" cy="2476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27</xdr:row>
          <xdr:rowOff>28575</xdr:rowOff>
        </xdr:from>
        <xdr:to>
          <xdr:col>0</xdr:col>
          <xdr:colOff>1000125</xdr:colOff>
          <xdr:row>28</xdr:row>
          <xdr:rowOff>0</xdr:rowOff>
        </xdr:to>
        <xdr:sp macro="" textlink="">
          <xdr:nvSpPr>
            <xdr:cNvPr id="18435" name="Drop Dow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</xdr:colOff>
      <xdr:row>0</xdr:row>
      <xdr:rowOff>0</xdr:rowOff>
    </xdr:from>
    <xdr:to>
      <xdr:col>1</xdr:col>
      <xdr:colOff>85726</xdr:colOff>
      <xdr:row>1</xdr:row>
      <xdr:rowOff>5953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" y="0"/>
          <a:ext cx="1133474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Home</a:t>
          </a:r>
        </a:p>
      </xdr:txBody>
    </xdr:sp>
    <xdr:clientData/>
  </xdr:twoCellAnchor>
  <xdr:twoCellAnchor>
    <xdr:from>
      <xdr:col>1</xdr:col>
      <xdr:colOff>40485</xdr:colOff>
      <xdr:row>0</xdr:row>
      <xdr:rowOff>0</xdr:rowOff>
    </xdr:from>
    <xdr:to>
      <xdr:col>2</xdr:col>
      <xdr:colOff>133351</xdr:colOff>
      <xdr:row>1</xdr:row>
      <xdr:rowOff>5953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088235" y="0"/>
          <a:ext cx="1140616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FORMS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130988</xdr:colOff>
      <xdr:row>0</xdr:row>
      <xdr:rowOff>0</xdr:rowOff>
    </xdr:from>
    <xdr:to>
      <xdr:col>3</xdr:col>
      <xdr:colOff>213291</xdr:colOff>
      <xdr:row>1</xdr:row>
      <xdr:rowOff>5953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2226488" y="0"/>
          <a:ext cx="1130053" cy="2726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ES</a:t>
          </a:r>
          <a:r>
            <a:rPr lang="pt-BR" sz="1100" baseline="0">
              <a:solidFill>
                <a:srgbClr val="3F6228"/>
              </a:solidFill>
            </a:rPr>
            <a:t> </a:t>
          </a:r>
          <a:r>
            <a:rPr lang="pt-BR" sz="1100">
              <a:solidFill>
                <a:srgbClr val="3F6228"/>
              </a:solidFill>
            </a:rPr>
            <a:t>DIVERSOS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28</xdr:row>
          <xdr:rowOff>19050</xdr:rowOff>
        </xdr:from>
        <xdr:to>
          <xdr:col>0</xdr:col>
          <xdr:colOff>1000125</xdr:colOff>
          <xdr:row>28</xdr:row>
          <xdr:rowOff>219075</xdr:rowOff>
        </xdr:to>
        <xdr:sp macro="" textlink="">
          <xdr:nvSpPr>
            <xdr:cNvPr id="18436" name="Drop Dow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2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29</xdr:row>
          <xdr:rowOff>28575</xdr:rowOff>
        </xdr:from>
        <xdr:to>
          <xdr:col>0</xdr:col>
          <xdr:colOff>1009650</xdr:colOff>
          <xdr:row>30</xdr:row>
          <xdr:rowOff>0</xdr:rowOff>
        </xdr:to>
        <xdr:sp macro="" textlink="">
          <xdr:nvSpPr>
            <xdr:cNvPr id="18437" name="Drop Dow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2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30</xdr:row>
          <xdr:rowOff>28575</xdr:rowOff>
        </xdr:from>
        <xdr:to>
          <xdr:col>0</xdr:col>
          <xdr:colOff>1009650</xdr:colOff>
          <xdr:row>31</xdr:row>
          <xdr:rowOff>0</xdr:rowOff>
        </xdr:to>
        <xdr:sp macro="" textlink="">
          <xdr:nvSpPr>
            <xdr:cNvPr id="18438" name="Drop Dow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31</xdr:row>
          <xdr:rowOff>28575</xdr:rowOff>
        </xdr:from>
        <xdr:to>
          <xdr:col>0</xdr:col>
          <xdr:colOff>1009650</xdr:colOff>
          <xdr:row>32</xdr:row>
          <xdr:rowOff>0</xdr:rowOff>
        </xdr:to>
        <xdr:sp macro="" textlink="">
          <xdr:nvSpPr>
            <xdr:cNvPr id="18439" name="Drop Dow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2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32</xdr:row>
          <xdr:rowOff>28575</xdr:rowOff>
        </xdr:from>
        <xdr:to>
          <xdr:col>0</xdr:col>
          <xdr:colOff>1009650</xdr:colOff>
          <xdr:row>33</xdr:row>
          <xdr:rowOff>0</xdr:rowOff>
        </xdr:to>
        <xdr:sp macro="" textlink="">
          <xdr:nvSpPr>
            <xdr:cNvPr id="18440" name="Drop Dow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2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33</xdr:row>
          <xdr:rowOff>28575</xdr:rowOff>
        </xdr:from>
        <xdr:to>
          <xdr:col>0</xdr:col>
          <xdr:colOff>1009650</xdr:colOff>
          <xdr:row>34</xdr:row>
          <xdr:rowOff>0</xdr:rowOff>
        </xdr:to>
        <xdr:sp macro="" textlink="">
          <xdr:nvSpPr>
            <xdr:cNvPr id="18441" name="Drop Dow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2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34</xdr:row>
          <xdr:rowOff>28575</xdr:rowOff>
        </xdr:from>
        <xdr:to>
          <xdr:col>0</xdr:col>
          <xdr:colOff>1009650</xdr:colOff>
          <xdr:row>35</xdr:row>
          <xdr:rowOff>0</xdr:rowOff>
        </xdr:to>
        <xdr:sp macro="" textlink="">
          <xdr:nvSpPr>
            <xdr:cNvPr id="18442" name="Drop Dow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2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42</xdr:row>
      <xdr:rowOff>57150</xdr:rowOff>
    </xdr:from>
    <xdr:to>
      <xdr:col>2</xdr:col>
      <xdr:colOff>923925</xdr:colOff>
      <xdr:row>42</xdr:row>
      <xdr:rowOff>304800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20027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SALVAR</a:t>
          </a:r>
        </a:p>
      </xdr:txBody>
    </xdr:sp>
    <xdr:clientData/>
  </xdr:twoCellAnchor>
  <xdr:twoCellAnchor>
    <xdr:from>
      <xdr:col>3</xdr:col>
      <xdr:colOff>114300</xdr:colOff>
      <xdr:row>42</xdr:row>
      <xdr:rowOff>57150</xdr:rowOff>
    </xdr:from>
    <xdr:to>
      <xdr:col>3</xdr:col>
      <xdr:colOff>933450</xdr:colOff>
      <xdr:row>42</xdr:row>
      <xdr:rowOff>304800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257550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LIMPAR</a:t>
          </a:r>
        </a:p>
      </xdr:txBody>
    </xdr:sp>
    <xdr:clientData/>
  </xdr:twoCellAnchor>
  <xdr:twoCellAnchor>
    <xdr:from>
      <xdr:col>0</xdr:col>
      <xdr:colOff>619125</xdr:colOff>
      <xdr:row>42</xdr:row>
      <xdr:rowOff>47625</xdr:rowOff>
    </xdr:from>
    <xdr:to>
      <xdr:col>1</xdr:col>
      <xdr:colOff>781050</xdr:colOff>
      <xdr:row>42</xdr:row>
      <xdr:rowOff>295275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19125" y="9963150"/>
          <a:ext cx="1209675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SELECIONAR</a:t>
          </a:r>
        </a:p>
      </xdr:txBody>
    </xdr:sp>
    <xdr:clientData/>
  </xdr:twoCellAnchor>
  <xdr:twoCellAnchor>
    <xdr:from>
      <xdr:col>5</xdr:col>
      <xdr:colOff>104775</xdr:colOff>
      <xdr:row>42</xdr:row>
      <xdr:rowOff>57150</xdr:rowOff>
    </xdr:from>
    <xdr:to>
      <xdr:col>5</xdr:col>
      <xdr:colOff>923925</xdr:colOff>
      <xdr:row>42</xdr:row>
      <xdr:rowOff>304800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343525" y="9972675"/>
          <a:ext cx="819150" cy="247650"/>
        </a:xfrm>
        <a:prstGeom prst="roundRect">
          <a:avLst/>
        </a:prstGeom>
        <a:solidFill>
          <a:srgbClr val="92D05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3F6228"/>
              </a:solidFill>
            </a:rPr>
            <a:t>IMPRIMIR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2000\Planorc\Documents%20and%20Settings\ALEXANDRE\Configura&#231;&#245;es%20locais\Temp\Diret&#243;rio%20tempor&#225;rio%201%20para%20Planilha%20SESC%20Sto%20Amaro%20-%20FINAL%20mar&#231;o-04R01.zip\Arquivos%20-%202003\Planilha%20SESC%20Sto%20Amaro%20-%20REVIS&#195;O-06-10-0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Teckma\AutoBAn\AutoBAN%20km%2026%20e%2036\Planilha%20PO%2003%20375%20rev%20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ssandra\trabalho\TRABALHO\EXCEL\M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cretaria\c\T&#233;cnico\DT-2002\T&#233;cnico\Concorre\PM-Erechim\TP-030\Orcam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ONTRATO\372-01\SIS\372-01-00-411-001-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www.sindesp-pr.org.br/Documents%20and%20Settings/user/Meus%20documentos/SINDESP%202006/WINDOWS/Desktop/ESTUDOS%20CUSTOS/Comparativos%20192%20hs%2012x3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ownloads\TKCSA\TAKE%20OFF_16-11-28%20(2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peracional\2.%20Obras%20em%20Andamento\16142%20-%20Construcap%20-%20Metr&#244;%20linha%2005\Documentos%20contratuais\16142%20-%20Construcap%20-%20Instala&#231;&#245;es%20hidr&#225;ulicas%20-%20Metr&#244;%20Linha%205%20-%20Lil&#225;s%20Rev.0_REV_03_(CPU's%2011-16)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Medi&#231;&#227;o%2001%20-%20Cau&#234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peracional\Obras%20em%20Andamento\14060%20-%20Sobrosa%20-%20Ecourbis\Documentos%20contratuais\14060%20-%20SOBROSA%20-%20ECOURBIS_REV%2002_consolidado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HTS060\Unidade\GEST%20SOLESA\OR&#199;AMENTO\MODELOS\0001%20A%20-CUSTOS%20%20MODELO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elipe\SERVIDOR\Usuario%20Deise\Meus%20documentos\Deise\RICARDO%20SASSO\Apto%20da%20Sra%20Ruth%20e%20Sr%20Milton\Quantitativos\TRABALHO\EXCEL\MO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A-EN-SERV-ARQ\USERS\Meus%20documentos\Excel\PLCT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ower\Rafael\Projetos\Projetos%202018\Metro\Planilha%20Interna%20CFTV%20IP%20H264%20revis&#227;o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ND"/>
      <sheetName val="PLANILHA TOTAL"/>
      <sheetName val="% max"/>
      <sheetName val="resumo"/>
      <sheetName val="Fechamento"/>
      <sheetName val="quadro de areas"/>
      <sheetName val="CONTROLE FINANCEIRO"/>
      <sheetName val="PLANILHA_TOTAL"/>
      <sheetName val="%_max"/>
      <sheetName val="quadro_de_areas"/>
      <sheetName val="COMPARATIVO_JERFERSON"/>
      <sheetName val="Base Comerciai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onog fis fin"/>
      <sheetName val="km 26"/>
      <sheetName val="km 36"/>
      <sheetName val="PLANILHA"/>
      <sheetName val="Curva ABC"/>
      <sheetName val="BANCO"/>
      <sheetName val="Relatório de Fechamento"/>
      <sheetName val="Composição de Impostos"/>
      <sheetName val="cronog_fis_fin"/>
      <sheetName val="km_26"/>
      <sheetName val="km_36"/>
      <sheetName val="Curva_ABC"/>
      <sheetName val="Relatório_de_Fechamento"/>
      <sheetName val="Composição_de_Imposto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.O."/>
      <sheetName val="Encargos Sociais"/>
      <sheetName val="BDI"/>
      <sheetName val="Esquadrias"/>
      <sheetName val="Plan"/>
      <sheetName val="EstConFund"/>
      <sheetName val="EstConElev"/>
      <sheetName val="Par"/>
      <sheetName val="Pisocon"/>
      <sheetName val="AcabPar"/>
      <sheetName val="AcabPiso"/>
      <sheetName val="AcabForro"/>
      <sheetName val="Resumo Estrutura"/>
      <sheetName val="Estrutura - Vigas mold in-loco"/>
      <sheetName val="Estrutura - Lajes"/>
      <sheetName val="Estrutura - Cimbramento"/>
      <sheetName val="Estrutura - Escadas"/>
      <sheetName val="Estrutura - Pilar"/>
      <sheetName val="M_O_"/>
      <sheetName val="M_O_1"/>
      <sheetName val="Encargos_Sociais"/>
      <sheetName val="Resumo_Estrutura"/>
      <sheetName val="Estrutura_-_Vigas_mold_in-loco"/>
      <sheetName val="Estrutura_-_Lajes"/>
      <sheetName val="Estrutura_-_Cimbramento"/>
      <sheetName val="Estrutura_-_Escadas"/>
      <sheetName val="Estrutura_-_Pilar"/>
      <sheetName val="P   CARGOS SAL CARAJAS "/>
      <sheetName val=""/>
      <sheetName val="Preco"/>
      <sheetName val="PQP"/>
      <sheetName val="M_O_2"/>
      <sheetName val="Encargos_Sociais1"/>
      <sheetName val="Resumo_Estrutura1"/>
      <sheetName val="Estrutura_-_Vigas_mold_in-loco1"/>
      <sheetName val="Estrutura_-_Lajes1"/>
      <sheetName val="Estrutura_-_Cimbramento1"/>
      <sheetName val="Estrutura_-_Escadas1"/>
      <sheetName val="Estrutura_-_Pilar1"/>
      <sheetName val="P___CARGOS_SAL_CARAJAS_"/>
      <sheetName val="Orc_Pad_Edif_Analítico"/>
      <sheetName val="Orc_Compl_Analítico"/>
      <sheetName val="Orc_Pad_Edif_Anal�tico"/>
      <sheetName val="Orc_Compl_Anal�tico"/>
      <sheetName val="M_O_3"/>
      <sheetName val="Encargos_Sociais2"/>
      <sheetName val="Resumo_Estrutura2"/>
      <sheetName val="Estrutura_-_Vigas_mold_in-loco2"/>
      <sheetName val="Estrutura_-_Lajes2"/>
      <sheetName val="Estrutura_-_Cimbramento2"/>
      <sheetName val="Estrutura_-_Escadas2"/>
      <sheetName val="Estrutura_-_Pilar2"/>
      <sheetName val="P___CARGOS_SAL_CARAJAS_1"/>
      <sheetName val="Orc_Compl_Aber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plan"/>
      <sheetName val="M.O."/>
    </sheetNames>
    <sheetDataSet>
      <sheetData sheetId="0" refreshError="1"/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CBR"/>
      <sheetName val="Folha de Rosto - 50"/>
      <sheetName val="Folha_de_Rosto_-_50"/>
      <sheetName val="Rates"/>
      <sheetName val="Dados"/>
      <sheetName val="Composição"/>
      <sheetName val="OUTROS_DADOS_MEDIÇÃO"/>
      <sheetName val="FCD"/>
      <sheetName val="Principal"/>
      <sheetName val="Trens"/>
      <sheetName val="COMP_ROLO"/>
      <sheetName val="KREBS (original)"/>
      <sheetName val="Teste"/>
      <sheetName val="grossoCONE"/>
      <sheetName val="Parameters"/>
      <sheetName val=" rougher de barita "/>
      <sheetName val="FAPMUT"/>
      <sheetName val="Wages"/>
      <sheetName val="CF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ATIVO JERFERSON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001"/>
      <sheetName val="Controle Faturamento Direto"/>
      <sheetName val="Memória de Cálculo"/>
      <sheetName val="Take-Off"/>
      <sheetName val="Legendas"/>
      <sheetName val="TAKE OFF_16-11-28 (2)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-SAO"/>
      <sheetName val="NOVA VENDA"/>
      <sheetName val="Base Orçamentária"/>
      <sheetName val="ENG"/>
      <sheetName val="RH"/>
      <sheetName val="FIN"/>
      <sheetName val="PLANILHA"/>
      <sheetName val="Composições"/>
      <sheetName val="PLANILHA (Red. Tigre)"/>
      <sheetName val="Curva ABC"/>
      <sheetName val="BANCO"/>
      <sheetName val="HH"/>
      <sheetName val="Histograma"/>
      <sheetName val="Equipamentos"/>
      <sheetName val="Consumíveis"/>
      <sheetName val="Terceiros"/>
      <sheetName val="FGO"/>
      <sheetName val="CT´S SIENGE"/>
      <sheetName val="COMPOSIÇÃO INDICES"/>
      <sheetName val="Análise Preços"/>
      <sheetName val="SAO-System"/>
      <sheetName val="RO"/>
      <sheetName val="FGF"/>
      <sheetName val="tabela encargos MENSALISTA"/>
      <sheetName val="tabela encargos HORISTA"/>
      <sheetName val="Template"/>
      <sheetName val="Gauss"/>
      <sheetName val="Plan1"/>
      <sheetName val="Suportes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uta"/>
      <sheetName val="MC"/>
      <sheetName val="CONTRATO"/>
    </sheetNames>
    <sheetDataSet>
      <sheetData sheetId="0"/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 E N D A S  2014"/>
      <sheetName val="Base Orçamentária"/>
      <sheetName val="ENG"/>
      <sheetName val="INFRA"/>
      <sheetName val="RH"/>
      <sheetName val=" ELETRICA"/>
      <sheetName val="HIDRÁULICA"/>
      <sheetName val="INCÊNDIO"/>
      <sheetName val="RESUMO"/>
      <sheetName val="PLANILHA"/>
      <sheetName val="Curva ABC"/>
      <sheetName val="BANCO"/>
      <sheetName val="Exclusivos"/>
      <sheetName val="Histograma"/>
      <sheetName val="Terceiros"/>
      <sheetName val="Equipamentos"/>
      <sheetName val="Consumíveis"/>
      <sheetName val="FGO"/>
      <sheetName val="FGF"/>
      <sheetName val="tabela encargos MENSALISTA"/>
      <sheetName val="tabela encargos HORISTA"/>
      <sheetName val="Template"/>
      <sheetName val="Gaus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QP"/>
      <sheetName val="IMPOSTOS"/>
      <sheetName val="CUSTO METÁLICA"/>
      <sheetName val="TELHA ZIPADA GALVANIZADA B 0,5"/>
      <sheetName val="TELHA TRAP GALVANIZADA B 0,5"/>
      <sheetName val="ARREMATES GALVANIZADO B 0,5"/>
      <sheetName val="CALHA e CX PRESSÃO GALVANIZADO"/>
      <sheetName val="PREÇOS"/>
      <sheetName val="          F I M        "/>
      <sheetName val="ISOLAMENTO"/>
      <sheetName val="TELHA ZIP GALV (COMPARAÇÃO)"/>
      <sheetName val="TELHA TRAP GALVALUME 0,5"/>
      <sheetName val="Domos 45,2cm "/>
      <sheetName val="VENTILADOR TIPO ALA"/>
      <sheetName val="TELHA TRAP GALVANIZADO B 0,65"/>
      <sheetName val="ARREMATES GALVALUME 0,5"/>
      <sheetName val="ARREMATES GALVANIZADO B 0,65"/>
      <sheetName val="Telha zipada Galv B 0,65  (2)"/>
      <sheetName val="Telha zipada galvalume 0,5 pin"/>
      <sheetName val="Domos 90,4cm"/>
      <sheetName val="Telha TRNASLÚCIDA"/>
      <sheetName val="TELHAS TRAP INF MBP ESP 0,5mm"/>
      <sheetName val="CUSTO_METÁLICA"/>
      <sheetName val="TELHA_ZIPADA_GALVANIZADA_B_0,5"/>
      <sheetName val="TELHA_TRAP_GALVANIZADA_B_0,5"/>
      <sheetName val="ARREMATES_GALVANIZADO_B_0,5"/>
      <sheetName val="CALHA_e_CX_PRESSÃO_GALVANIZADO"/>
      <sheetName val="__________F_I_M________"/>
      <sheetName val="TELHA_ZIP_GALV_(COMPARAÇÃO)"/>
      <sheetName val="TELHA_TRAP_GALVALUME_0,5"/>
      <sheetName val="Domos_45,2cm_"/>
      <sheetName val="VENTILADOR_TIPO_ALA"/>
      <sheetName val="TELHA_TRAP_GALVANIZADO_B_0,65"/>
      <sheetName val="ARREMATES_GALVALUME_0,5"/>
      <sheetName val="ARREMATES_GALVANIZADO_B_0,65"/>
      <sheetName val="Telha_zipada_Galv_B_0,65__(2)"/>
      <sheetName val="Telha_zipada_galvalume_0,5_pin"/>
      <sheetName val="Domos_90,4cm"/>
      <sheetName val="Telha_TRNASLÚCIDA"/>
      <sheetName val="TELHAS_TRAP_INF_MBP_ESP_0,5mm"/>
      <sheetName val="km 26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.O."/>
      <sheetName val="Encargos Sociais"/>
      <sheetName val="BDI"/>
      <sheetName val="M_O_"/>
      <sheetName val="Orc_Pad_Edif_Analítico"/>
      <sheetName val="Orc_Compl_Analítico"/>
      <sheetName val="M_O_1"/>
      <sheetName val="Encargos_Sociais"/>
      <sheetName val="Orc_Pad_Edif_Anal�tico"/>
      <sheetName val="Orc_Compl_Anal�tico"/>
      <sheetName val="Orc_Compl_Aberto"/>
      <sheetName val="Esquadrias"/>
      <sheetName val="Plan"/>
      <sheetName val="EstConFund"/>
      <sheetName val="EstConElev"/>
      <sheetName val="Par"/>
      <sheetName val="Pisocon"/>
      <sheetName val="AcabPar"/>
      <sheetName val="AcabPiso"/>
      <sheetName val="AcabForro"/>
      <sheetName val="Resumo Estrutura"/>
      <sheetName val="Estrutura - Vigas mold in-loco"/>
      <sheetName val="Estrutura - Lajes"/>
      <sheetName val="Estrutura - Cimbramento"/>
      <sheetName val="Estrutura - Escadas"/>
      <sheetName val="Estrutura - Pilar"/>
      <sheetName val="Resumo_Estrutura"/>
      <sheetName val="Estrutura_-_Vigas_mold_in-loco"/>
      <sheetName val="Estrutura_-_Lajes"/>
      <sheetName val="Estrutura_-_Cimbramento"/>
      <sheetName val="Estrutura_-_Escadas"/>
      <sheetName val="Estrutura_-_Pilar"/>
      <sheetName val="P   CARGOS SAL CARAJAS 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P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âmetros "/>
      <sheetName val="Dados da Proposta"/>
      <sheetName val="Resultados da Proposta"/>
      <sheetName val="Equipe Técnica"/>
      <sheetName val="PLAN (2)"/>
      <sheetName val="CN x O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13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2560C-7884-4A19-8965-2AEF9BA19D0A}">
  <sheetPr codeName="Planilha2"/>
  <dimension ref="A1:AF2"/>
  <sheetViews>
    <sheetView zoomScaleNormal="100" workbookViewId="0"/>
  </sheetViews>
  <sheetFormatPr defaultRowHeight="15" x14ac:dyDescent="0.25"/>
  <sheetData>
    <row r="1" spans="1:32" ht="21" customHeight="1" x14ac:dyDescent="0.25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</row>
    <row r="2" spans="1:32" ht="24.95" customHeight="1" x14ac:dyDescent="0.25">
      <c r="A2" s="235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84248-31DC-4AFC-9032-B39C6906AC30}">
  <sheetPr codeName="Planilha1"/>
  <dimension ref="A1:AF43"/>
  <sheetViews>
    <sheetView tabSelected="1" zoomScale="145" zoomScaleNormal="145" workbookViewId="0">
      <selection activeCell="J20" sqref="J20"/>
    </sheetView>
  </sheetViews>
  <sheetFormatPr defaultRowHeight="15" x14ac:dyDescent="0.25"/>
  <cols>
    <col min="1" max="6" width="15.7109375" customWidth="1"/>
  </cols>
  <sheetData>
    <row r="1" spans="1:32" ht="21" customHeight="1" x14ac:dyDescent="0.25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</row>
    <row r="2" spans="1:32" ht="24.95" customHeight="1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312"/>
      <c r="AC2" s="312"/>
      <c r="AD2" s="312"/>
      <c r="AE2" s="312"/>
      <c r="AF2" s="312"/>
    </row>
    <row r="3" spans="1:32" ht="6" customHeight="1" x14ac:dyDescent="0.25"/>
    <row r="4" spans="1:32" ht="18" x14ac:dyDescent="0.25">
      <c r="A4" s="195" t="s">
        <v>872</v>
      </c>
      <c r="B4" s="193"/>
      <c r="C4" s="193"/>
      <c r="D4" s="193"/>
      <c r="E4" s="193"/>
      <c r="F4" s="193"/>
    </row>
    <row r="5" spans="1:32" ht="9.9499999999999993" customHeight="1" x14ac:dyDescent="0.25">
      <c r="A5" s="193"/>
      <c r="B5" s="193"/>
      <c r="C5" s="193"/>
      <c r="D5" s="193"/>
      <c r="E5" s="193"/>
      <c r="F5" s="196">
        <v>221</v>
      </c>
    </row>
    <row r="6" spans="1:32" ht="9.75" customHeight="1" x14ac:dyDescent="0.25">
      <c r="A6" s="178" t="s">
        <v>870</v>
      </c>
      <c r="B6" s="179" t="s">
        <v>871</v>
      </c>
      <c r="C6" s="179" t="s">
        <v>402</v>
      </c>
      <c r="D6" s="179" t="s">
        <v>401</v>
      </c>
      <c r="E6" s="179" t="s">
        <v>1173</v>
      </c>
      <c r="F6" s="179" t="s">
        <v>400</v>
      </c>
    </row>
    <row r="7" spans="1:32" ht="18" customHeight="1" x14ac:dyDescent="0.25">
      <c r="A7" s="303" t="s">
        <v>1189</v>
      </c>
      <c r="B7" s="293" t="s">
        <v>1192</v>
      </c>
      <c r="C7" s="293" t="s">
        <v>1191</v>
      </c>
      <c r="D7" s="293">
        <v>7</v>
      </c>
      <c r="E7" s="293">
        <v>8</v>
      </c>
      <c r="F7" s="180">
        <v>3</v>
      </c>
    </row>
    <row r="8" spans="1:32" ht="6" customHeight="1" x14ac:dyDescent="0.25">
      <c r="C8" s="155"/>
      <c r="D8" s="155"/>
      <c r="E8" s="155"/>
      <c r="F8" s="155"/>
    </row>
    <row r="9" spans="1:32" ht="9.75" customHeight="1" x14ac:dyDescent="0.25">
      <c r="A9" s="185" t="s">
        <v>0</v>
      </c>
      <c r="B9" s="186"/>
      <c r="C9" s="187"/>
      <c r="D9" s="188"/>
      <c r="E9" s="185" t="s">
        <v>220</v>
      </c>
      <c r="F9" s="188"/>
    </row>
    <row r="10" spans="1:32" ht="18" customHeight="1" x14ac:dyDescent="0.25">
      <c r="A10" s="189" t="str" cm="1">
        <f t="array" ref="A10">INDEX('Base Forms'!A2:Y224,'ES Forms'!F5,3)</f>
        <v>CARTÃO DE REPRESENTAÇÃO PADRÃO</v>
      </c>
      <c r="B10" s="190"/>
      <c r="C10" s="190"/>
      <c r="D10" s="191"/>
      <c r="E10" s="189" t="str">
        <f>VLOOKUP(F5,'Base Forms'!A:O,4,0)</f>
        <v>LOTE 50</v>
      </c>
      <c r="F10" s="191"/>
    </row>
    <row r="11" spans="1:32" ht="9.75" customHeight="1" x14ac:dyDescent="0.25">
      <c r="A11" s="178" t="s">
        <v>894</v>
      </c>
      <c r="B11" s="179" t="s">
        <v>895</v>
      </c>
      <c r="C11" s="179" t="s">
        <v>896</v>
      </c>
      <c r="D11" s="179" t="s">
        <v>897</v>
      </c>
      <c r="E11" s="181"/>
      <c r="F11" s="182"/>
    </row>
    <row r="12" spans="1:32" ht="18" customHeight="1" x14ac:dyDescent="0.25">
      <c r="A12" s="180" t="str">
        <f>VLOOKUP(F5,'Base Forms'!A:Y,15,0)</f>
        <v>Não</v>
      </c>
      <c r="B12" s="180" t="str">
        <f>VLOOKUP(F5,'Base Forms'!A:Y,16,0)</f>
        <v>Não</v>
      </c>
      <c r="C12" s="180" t="str">
        <f>VLOOKUP(F5,'Base Forms'!A:Y,17,0)</f>
        <v>Não</v>
      </c>
      <c r="D12" s="180" t="str">
        <f>VLOOKUP(F5,'Base Forms'!A:Y,18,0)</f>
        <v>Não</v>
      </c>
      <c r="E12" s="183"/>
      <c r="F12" s="184"/>
    </row>
    <row r="13" spans="1:32" ht="9.75" customHeight="1" x14ac:dyDescent="0.25">
      <c r="A13" s="178" t="s">
        <v>266</v>
      </c>
      <c r="B13" s="179" t="s">
        <v>235</v>
      </c>
      <c r="C13" s="179" t="s">
        <v>236</v>
      </c>
      <c r="D13" s="179" t="s">
        <v>237</v>
      </c>
      <c r="E13" s="179" t="s">
        <v>892</v>
      </c>
      <c r="F13" s="179" t="s">
        <v>893</v>
      </c>
    </row>
    <row r="14" spans="1:32" ht="18" customHeight="1" x14ac:dyDescent="0.25">
      <c r="A14" s="180">
        <f>VLOOKUP($F$5,'Base Forms'!A:Y,19,0)</f>
        <v>1</v>
      </c>
      <c r="B14" s="180" t="str">
        <f>VLOOKUP($F$5,'Base Forms'!A:Y,20,0)</f>
        <v>Cartão</v>
      </c>
      <c r="C14" s="180" t="str">
        <f>VLOOKUP($F$5,'Base Forms'!A:Y,21,0)</f>
        <v>Branco</v>
      </c>
      <c r="D14" s="180" t="str">
        <f>VLOOKUP($F$5,'Base Forms'!A:Y,22,0)</f>
        <v>300gr</v>
      </c>
      <c r="E14" s="180" t="str">
        <f>VLOOKUP($F$5,'Base Forms'!A:Y,23,0)</f>
        <v>55x80</v>
      </c>
      <c r="F14" s="294" t="str">
        <f>VLOOKUP($F$5,'Base Forms'!A:Y,24,0)</f>
        <v>Colorido</v>
      </c>
    </row>
    <row r="15" spans="1:32" ht="20.100000000000001" customHeight="1" x14ac:dyDescent="0.25">
      <c r="A15" s="192" t="s">
        <v>558</v>
      </c>
      <c r="B15" s="193"/>
      <c r="C15" s="194"/>
      <c r="D15" s="194"/>
      <c r="E15" s="194"/>
      <c r="F15" s="194"/>
    </row>
    <row r="16" spans="1:32" ht="9.75" customHeight="1" x14ac:dyDescent="0.25">
      <c r="A16" s="178" t="s">
        <v>875</v>
      </c>
      <c r="B16" s="179" t="s">
        <v>876</v>
      </c>
      <c r="C16" s="178" t="s">
        <v>221</v>
      </c>
      <c r="D16" s="179" t="s">
        <v>873</v>
      </c>
      <c r="E16" s="178" t="s">
        <v>874</v>
      </c>
      <c r="F16" s="178" t="s">
        <v>224</v>
      </c>
    </row>
    <row r="17" spans="1:7" ht="18" customHeight="1" x14ac:dyDescent="0.25">
      <c r="A17" s="293"/>
      <c r="B17" s="293"/>
      <c r="C17" s="180" t="str">
        <f>VLOOKUP($F$5,'Base Forms'!A:Y,5,0)</f>
        <v>OFF SET</v>
      </c>
      <c r="D17" s="180" t="str">
        <f>VLOOKUP($F$5,'Base Forms'!A:Y,6,0)</f>
        <v>F</v>
      </c>
      <c r="E17" s="180" t="str">
        <f>VLOOKUP($F$5,'Base Forms'!A:Y,7,0)</f>
        <v>Não</v>
      </c>
      <c r="F17" s="180" t="str">
        <f>VLOOKUP($F$5,'Base Forms'!A:Y,8,0)</f>
        <v>Não</v>
      </c>
    </row>
    <row r="18" spans="1:7" ht="9.75" customHeight="1" x14ac:dyDescent="0.25">
      <c r="A18" s="178" t="s">
        <v>225</v>
      </c>
      <c r="B18" s="178" t="s">
        <v>226</v>
      </c>
      <c r="C18" s="178" t="s">
        <v>227</v>
      </c>
      <c r="D18" s="179" t="s">
        <v>228</v>
      </c>
      <c r="E18" s="178" t="s">
        <v>229</v>
      </c>
      <c r="F18" s="178" t="s">
        <v>230</v>
      </c>
    </row>
    <row r="19" spans="1:7" ht="18" customHeight="1" x14ac:dyDescent="0.25">
      <c r="A19" s="180" t="str">
        <f>VLOOKUP($F$5,'Base Forms'!A:Y,9,0)</f>
        <v>Não</v>
      </c>
      <c r="B19" s="180" t="str">
        <f>VLOOKUP($F$5,'Base Forms'!A:Y,10,0)</f>
        <v>Não</v>
      </c>
      <c r="C19" s="180" t="str">
        <f>VLOOKUP($F$5,'Base Forms'!A:Y,11,0)</f>
        <v>Não</v>
      </c>
      <c r="D19" s="180" t="str">
        <f>VLOOKUP($F$5,'Base Forms'!A:Y,12,0)</f>
        <v>Não</v>
      </c>
      <c r="E19" s="180" t="str">
        <f>VLOOKUP($F$5,'Base Forms'!A:Y,13,0)</f>
        <v>Não</v>
      </c>
      <c r="F19" s="180" t="str">
        <f>VLOOKUP($F$5,'Base Forms'!A:Y,14,0)</f>
        <v>Não</v>
      </c>
    </row>
    <row r="20" spans="1:7" ht="9.75" customHeight="1" x14ac:dyDescent="0.25">
      <c r="A20" s="178" t="s">
        <v>877</v>
      </c>
      <c r="B20" s="178" t="s">
        <v>878</v>
      </c>
      <c r="C20" s="178" t="s">
        <v>879</v>
      </c>
      <c r="D20" s="179" t="s">
        <v>880</v>
      </c>
      <c r="E20" s="178" t="s">
        <v>881</v>
      </c>
      <c r="F20" s="178" t="s">
        <v>882</v>
      </c>
    </row>
    <row r="21" spans="1:7" ht="18" customHeight="1" x14ac:dyDescent="0.25">
      <c r="A21" s="293"/>
      <c r="B21" s="293"/>
      <c r="C21" s="293"/>
      <c r="D21" s="293"/>
      <c r="E21" s="293"/>
      <c r="F21" s="293"/>
    </row>
    <row r="22" spans="1:7" ht="9.75" customHeight="1" x14ac:dyDescent="0.25">
      <c r="A22" s="178" t="s">
        <v>883</v>
      </c>
      <c r="B22" s="178" t="s">
        <v>884</v>
      </c>
      <c r="C22" s="178" t="s">
        <v>885</v>
      </c>
      <c r="D22" s="179" t="s">
        <v>886</v>
      </c>
      <c r="E22" s="178" t="s">
        <v>887</v>
      </c>
      <c r="F22" s="178" t="s">
        <v>888</v>
      </c>
    </row>
    <row r="23" spans="1:7" ht="18" customHeight="1" x14ac:dyDescent="0.25">
      <c r="A23" s="293"/>
      <c r="B23" s="293"/>
      <c r="C23" s="293"/>
      <c r="D23" s="293"/>
      <c r="E23" s="293"/>
      <c r="F23" s="293"/>
    </row>
    <row r="24" spans="1:7" ht="9.75" customHeight="1" x14ac:dyDescent="0.25">
      <c r="A24" s="174" t="s">
        <v>240</v>
      </c>
      <c r="B24" s="175"/>
      <c r="C24" s="175"/>
      <c r="D24" s="176"/>
      <c r="E24" s="175"/>
      <c r="F24" s="177"/>
    </row>
    <row r="25" spans="1:7" ht="135" customHeight="1" x14ac:dyDescent="0.25">
      <c r="A25" s="320" t="str">
        <f>VLOOKUP($F$5,'Base Forms'!A:Y,25,0)</f>
        <v>Não se aplica</v>
      </c>
      <c r="B25" s="321"/>
      <c r="C25" s="321"/>
      <c r="D25" s="321"/>
      <c r="E25" s="321"/>
      <c r="F25" s="322"/>
    </row>
    <row r="26" spans="1:7" ht="20.100000000000001" customHeight="1" x14ac:dyDescent="0.25">
      <c r="A26" s="192" t="s">
        <v>889</v>
      </c>
      <c r="B26" s="193"/>
      <c r="C26" s="196"/>
      <c r="D26" s="193"/>
      <c r="E26" s="193"/>
      <c r="F26" s="193"/>
    </row>
    <row r="27" spans="1:7" ht="24.75" customHeight="1" x14ac:dyDescent="0.25">
      <c r="A27" s="220" t="s">
        <v>414</v>
      </c>
      <c r="B27" s="221" t="s">
        <v>415</v>
      </c>
      <c r="C27" s="222"/>
      <c r="D27" s="223" t="s">
        <v>416</v>
      </c>
      <c r="E27" s="224" t="s">
        <v>417</v>
      </c>
      <c r="F27" s="224" t="s">
        <v>418</v>
      </c>
    </row>
    <row r="28" spans="1:7" ht="18" customHeight="1" x14ac:dyDescent="0.25">
      <c r="A28" s="154"/>
      <c r="B28" s="323" t="str" cm="1">
        <f t="array" ref="B28">INDEX('Base PSP'!$A$9:$F$168,'ES Forms'!$G$28,2)</f>
        <v>Papel Couche, Brilhante ou Fosco 90g 90g - A3</v>
      </c>
      <c r="C28" s="323"/>
      <c r="D28" s="295" cm="1">
        <f t="array" ref="D28">INDEX('Base PSP'!$A$9:$F$168,'ES Forms'!$G$28,5)</f>
        <v>0.23</v>
      </c>
      <c r="E28" s="295">
        <v>500</v>
      </c>
      <c r="F28" s="308">
        <f>E28*D28</f>
        <v>115</v>
      </c>
      <c r="G28">
        <v>17</v>
      </c>
    </row>
    <row r="29" spans="1:7" ht="18" customHeight="1" x14ac:dyDescent="0.25">
      <c r="A29" s="154"/>
      <c r="B29" s="323" t="str" cm="1">
        <f t="array" ref="B29">INDEX('Base PSP'!$A$9:$F$168,'ES Forms'!$G$29,2)</f>
        <v>Cartão 240g - A3</v>
      </c>
      <c r="C29" s="323"/>
      <c r="D29" s="295" cm="1">
        <f t="array" ref="D29">INDEX('Base PSP'!$A$9:$F$168,'ES Forms'!$G$29,5)</f>
        <v>0.39</v>
      </c>
      <c r="E29" s="295">
        <v>1000</v>
      </c>
      <c r="F29" s="308">
        <f t="shared" ref="F29:F35" si="0">E29*D29</f>
        <v>390</v>
      </c>
      <c r="G29">
        <v>47</v>
      </c>
    </row>
    <row r="30" spans="1:7" ht="18" customHeight="1" x14ac:dyDescent="0.25">
      <c r="A30" s="154"/>
      <c r="B30" s="323" t="str" cm="1">
        <f t="array" ref="B30">INDEX('Base PSP'!$A$9:$F$168,'ES Forms'!$G$30,2)</f>
        <v>Colorido na Massa 150g - A4 ou Ofício</v>
      </c>
      <c r="C30" s="323"/>
      <c r="D30" s="295" cm="1">
        <f t="array" ref="D30">INDEX('Base PSP'!$A$9:$F$168,'ES Forms'!$G$30,5)</f>
        <v>0.28999999999999998</v>
      </c>
      <c r="E30" s="158">
        <v>500</v>
      </c>
      <c r="F30" s="308">
        <f t="shared" si="0"/>
        <v>145</v>
      </c>
      <c r="G30">
        <v>65</v>
      </c>
    </row>
    <row r="31" spans="1:7" ht="18" customHeight="1" x14ac:dyDescent="0.25">
      <c r="A31" s="154"/>
      <c r="B31" s="323" t="str" cm="1">
        <f t="array" ref="B31">INDEX('Base PSP'!$A$9:$F$168,'ES Forms'!$G$31,2)</f>
        <v>Colorido na Massa 80g - A3</v>
      </c>
      <c r="C31" s="323"/>
      <c r="D31" s="295" cm="1">
        <f t="array" ref="D31">INDEX('Base PSP'!$A$9:$F$168,'ES Forms'!$G$31,5)</f>
        <v>1.59</v>
      </c>
      <c r="E31" s="158">
        <v>500</v>
      </c>
      <c r="F31" s="308">
        <f t="shared" si="0"/>
        <v>795</v>
      </c>
      <c r="G31">
        <v>60</v>
      </c>
    </row>
    <row r="32" spans="1:7" ht="18" customHeight="1" x14ac:dyDescent="0.25">
      <c r="A32" s="154"/>
      <c r="B32" s="323" cm="1">
        <f t="array" ref="B32">INDEX('Base PSP'!$A$9:$F$168,'ES Forms'!$G$32,2)</f>
        <v>0</v>
      </c>
      <c r="C32" s="323"/>
      <c r="D32" s="295" cm="1">
        <f t="array" ref="D32">INDEX('Base PSP'!$A$9:$F$168,'ES Forms'!$G$32,5)</f>
        <v>0</v>
      </c>
      <c r="E32" s="158"/>
      <c r="F32" s="308">
        <f t="shared" si="0"/>
        <v>0</v>
      </c>
      <c r="G32">
        <v>153</v>
      </c>
    </row>
    <row r="33" spans="1:7" ht="18" customHeight="1" x14ac:dyDescent="0.25">
      <c r="A33" s="154"/>
      <c r="B33" s="323" cm="1">
        <f t="array" ref="B33">INDEX('Base PSP'!$A$9:$F$168,'ES Forms'!$G$33,2)</f>
        <v>0</v>
      </c>
      <c r="C33" s="323"/>
      <c r="D33" s="295" cm="1">
        <f t="array" ref="D33">INDEX('Base PSP'!$A$9:$F$168,'ES Forms'!$G$33,5)</f>
        <v>0</v>
      </c>
      <c r="E33" s="158"/>
      <c r="F33" s="308">
        <f t="shared" si="0"/>
        <v>0</v>
      </c>
      <c r="G33">
        <v>127</v>
      </c>
    </row>
    <row r="34" spans="1:7" ht="18" customHeight="1" x14ac:dyDescent="0.25">
      <c r="A34" s="154"/>
      <c r="B34" s="323" cm="1">
        <f t="array" ref="B34">INDEX('Base PSP'!$A$9:$F$168,'ES Forms'!$G$34,2)</f>
        <v>0</v>
      </c>
      <c r="C34" s="323"/>
      <c r="D34" s="295" cm="1">
        <f t="array" ref="D34">INDEX('Base PSP'!$A$9:$F$168,'ES Forms'!$G$34,5)</f>
        <v>0</v>
      </c>
      <c r="E34" s="158"/>
      <c r="F34" s="308">
        <f t="shared" si="0"/>
        <v>0</v>
      </c>
      <c r="G34">
        <v>129</v>
      </c>
    </row>
    <row r="35" spans="1:7" ht="18" customHeight="1" x14ac:dyDescent="0.25">
      <c r="A35" s="154"/>
      <c r="B35" s="323" cm="1">
        <f t="array" ref="B35">INDEX('Base PSP'!$A$9:$F$168,'ES Forms'!$G$35,2)</f>
        <v>0</v>
      </c>
      <c r="C35" s="323"/>
      <c r="D35" s="295" cm="1">
        <f t="array" ref="D35">INDEX('Base PSP'!$A$9:$F$168,'ES Forms'!$G$35,5)</f>
        <v>0</v>
      </c>
      <c r="E35" s="158"/>
      <c r="F35" s="308">
        <f t="shared" si="0"/>
        <v>0</v>
      </c>
      <c r="G35">
        <v>129</v>
      </c>
    </row>
    <row r="36" spans="1:7" ht="25.5" customHeight="1" x14ac:dyDescent="0.25">
      <c r="A36" s="225"/>
      <c r="B36" s="226"/>
      <c r="C36" s="226"/>
      <c r="D36" s="226"/>
      <c r="E36" s="227" t="s">
        <v>891</v>
      </c>
      <c r="F36" s="307">
        <f>SUM(F28:F35)</f>
        <v>1445</v>
      </c>
    </row>
    <row r="37" spans="1:7" ht="20.100000000000001" customHeight="1" x14ac:dyDescent="0.25">
      <c r="A37" s="192" t="s">
        <v>431</v>
      </c>
      <c r="B37" s="309">
        <v>13</v>
      </c>
      <c r="C37" s="193"/>
      <c r="D37" s="193"/>
      <c r="E37" s="193"/>
      <c r="F37" s="193"/>
    </row>
    <row r="38" spans="1:7" x14ac:dyDescent="0.25">
      <c r="A38" s="219" t="s">
        <v>900</v>
      </c>
      <c r="B38" s="217" t="s">
        <v>890</v>
      </c>
      <c r="C38" s="228"/>
      <c r="D38" s="228"/>
      <c r="E38" s="218"/>
      <c r="F38" s="219" t="s">
        <v>898</v>
      </c>
    </row>
    <row r="39" spans="1:7" ht="18" customHeight="1" x14ac:dyDescent="0.25">
      <c r="A39" s="171"/>
      <c r="B39" s="172" t="str">
        <f>VLOOKUP($B$37,'Base Enderecos'!A1:C104,3)</f>
        <v>Pátio Oratório: Av. Oratório, 1.053  </v>
      </c>
      <c r="C39" s="173"/>
      <c r="D39" s="173"/>
      <c r="E39" s="159"/>
      <c r="F39" s="311"/>
    </row>
    <row r="40" spans="1:7" x14ac:dyDescent="0.25">
      <c r="A40" s="229" t="s">
        <v>434</v>
      </c>
      <c r="B40" s="230"/>
      <c r="C40" s="230"/>
      <c r="D40" s="231"/>
      <c r="E40" s="232" t="s">
        <v>435</v>
      </c>
      <c r="F40" s="233" t="s">
        <v>869</v>
      </c>
    </row>
    <row r="41" spans="1:7" ht="21.95" customHeight="1" x14ac:dyDescent="0.25">
      <c r="A41" s="324"/>
      <c r="B41" s="325"/>
      <c r="C41" s="325"/>
      <c r="D41" s="326"/>
      <c r="E41" s="310"/>
      <c r="F41" s="310"/>
    </row>
    <row r="42" spans="1:7" ht="6" customHeight="1" x14ac:dyDescent="0.25"/>
    <row r="43" spans="1:7" ht="27.75" customHeight="1" x14ac:dyDescent="0.25">
      <c r="A43" s="319"/>
      <c r="B43" s="319"/>
      <c r="C43" s="319"/>
      <c r="D43" s="319"/>
      <c r="E43" s="319"/>
      <c r="F43" s="319"/>
    </row>
  </sheetData>
  <mergeCells count="11">
    <mergeCell ref="A43:F43"/>
    <mergeCell ref="A25:F25"/>
    <mergeCell ref="B28:C28"/>
    <mergeCell ref="B29:C29"/>
    <mergeCell ref="B30:C30"/>
    <mergeCell ref="B31:C31"/>
    <mergeCell ref="A41:D41"/>
    <mergeCell ref="B35:C35"/>
    <mergeCell ref="B32:C32"/>
    <mergeCell ref="B33:C33"/>
    <mergeCell ref="B34:C34"/>
  </mergeCells>
  <pageMargins left="0.59055118110236227" right="0.31496062992125984" top="1.1811023622047245" bottom="0.59055118110236227" header="0.47244094488188981" footer="0.39370078740157483"/>
  <pageSetup paperSize="9" orientation="portrait" horizontalDpi="1200" verticalDpi="1200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Drop Down 1">
              <controlPr defaultSize="0" autoLine="0" autoPict="0">
                <anchor moveWithCells="1">
                  <from>
                    <xdr:col>0</xdr:col>
                    <xdr:colOff>28575</xdr:colOff>
                    <xdr:row>38</xdr:row>
                    <xdr:rowOff>28575</xdr:rowOff>
                  </from>
                  <to>
                    <xdr:col>0</xdr:col>
                    <xdr:colOff>1019175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Drop Down 3">
              <controlPr defaultSize="0" autoLine="0" autoPict="0">
                <anchor moveWithCells="1">
                  <from>
                    <xdr:col>9</xdr:col>
                    <xdr:colOff>371475</xdr:colOff>
                    <xdr:row>9</xdr:row>
                    <xdr:rowOff>9525</xdr:rowOff>
                  </from>
                  <to>
                    <xdr:col>11</xdr:col>
                    <xdr:colOff>142875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0</xdr:col>
                    <xdr:colOff>38100</xdr:colOff>
                    <xdr:row>27</xdr:row>
                    <xdr:rowOff>28575</xdr:rowOff>
                  </from>
                  <to>
                    <xdr:col>0</xdr:col>
                    <xdr:colOff>1009650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8" name="Drop Down 15">
              <controlPr defaultSize="0" autoLine="0" autoPict="0">
                <anchor mov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1009650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9" name="Drop Down 16">
              <controlPr defaultSize="0" autoLine="0" autoPict="0">
                <anchor moveWithCells="1">
                  <from>
                    <xdr:col>0</xdr:col>
                    <xdr:colOff>28575</xdr:colOff>
                    <xdr:row>29</xdr:row>
                    <xdr:rowOff>28575</xdr:rowOff>
                  </from>
                  <to>
                    <xdr:col>0</xdr:col>
                    <xdr:colOff>1009650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0" name="Drop Down 17">
              <controlPr defaultSize="0" autoLine="0" autoPict="0">
                <anchor moveWithCells="1">
                  <from>
                    <xdr:col>0</xdr:col>
                    <xdr:colOff>28575</xdr:colOff>
                    <xdr:row>30</xdr:row>
                    <xdr:rowOff>28575</xdr:rowOff>
                  </from>
                  <to>
                    <xdr:col>0</xdr:col>
                    <xdr:colOff>1009650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1" name="Drop Down 18">
              <controlPr defaultSize="0" autoLine="0" autoPict="0">
                <anchor moveWithCells="1">
                  <from>
                    <xdr:col>0</xdr:col>
                    <xdr:colOff>28575</xdr:colOff>
                    <xdr:row>31</xdr:row>
                    <xdr:rowOff>19050</xdr:rowOff>
                  </from>
                  <to>
                    <xdr:col>0</xdr:col>
                    <xdr:colOff>1009650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2" name="Drop Down 19">
              <controlPr defaultSize="0" autoLine="0" autoPict="0">
                <anchor moveWithCells="1">
                  <from>
                    <xdr:col>0</xdr:col>
                    <xdr:colOff>28575</xdr:colOff>
                    <xdr:row>32</xdr:row>
                    <xdr:rowOff>28575</xdr:rowOff>
                  </from>
                  <to>
                    <xdr:col>0</xdr:col>
                    <xdr:colOff>1009650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3" name="Drop Down 20">
              <controlPr defaultSize="0" autoLine="0" autoPict="0">
                <anchor moveWithCells="1">
                  <from>
                    <xdr:col>0</xdr:col>
                    <xdr:colOff>28575</xdr:colOff>
                    <xdr:row>33</xdr:row>
                    <xdr:rowOff>28575</xdr:rowOff>
                  </from>
                  <to>
                    <xdr:col>0</xdr:col>
                    <xdr:colOff>1009650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4" name="Drop Down 21">
              <controlPr defaultSize="0" autoLine="0" autoPict="0">
                <anchor moveWithCells="1">
                  <from>
                    <xdr:col>0</xdr:col>
                    <xdr:colOff>28575</xdr:colOff>
                    <xdr:row>34</xdr:row>
                    <xdr:rowOff>28575</xdr:rowOff>
                  </from>
                  <to>
                    <xdr:col>0</xdr:col>
                    <xdr:colOff>1009650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AC187-E9DB-49DE-A3B1-EBD1FBBBC509}">
  <sheetPr codeName="Planilha6"/>
  <dimension ref="A1:AF43"/>
  <sheetViews>
    <sheetView zoomScaleNormal="100" workbookViewId="0"/>
  </sheetViews>
  <sheetFormatPr defaultRowHeight="15" x14ac:dyDescent="0.25"/>
  <cols>
    <col min="1" max="6" width="15.7109375" customWidth="1"/>
  </cols>
  <sheetData>
    <row r="1" spans="1:32" ht="21" customHeight="1" x14ac:dyDescent="0.25">
      <c r="A1" s="234"/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  <c r="R1" s="234"/>
      <c r="S1" s="234"/>
      <c r="T1" s="234"/>
      <c r="U1" s="234"/>
      <c r="V1" s="234"/>
      <c r="W1" s="234"/>
      <c r="X1" s="234"/>
      <c r="Y1" s="234"/>
      <c r="Z1" s="234"/>
      <c r="AA1" s="234"/>
      <c r="AB1" s="234"/>
      <c r="AC1" s="234"/>
      <c r="AD1" s="234"/>
      <c r="AE1" s="234"/>
      <c r="AF1" s="234"/>
    </row>
    <row r="2" spans="1:32" ht="24.95" customHeight="1" x14ac:dyDescent="0.25">
      <c r="A2" s="235"/>
      <c r="B2" s="235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</row>
    <row r="3" spans="1:32" ht="6" customHeight="1" x14ac:dyDescent="0.25"/>
    <row r="4" spans="1:32" ht="18" x14ac:dyDescent="0.25">
      <c r="A4" s="195" t="s">
        <v>872</v>
      </c>
      <c r="B4" s="193"/>
      <c r="C4" s="193"/>
      <c r="D4" s="193"/>
      <c r="E4" s="193"/>
      <c r="F4" s="193"/>
    </row>
    <row r="5" spans="1:32" ht="9.9499999999999993" customHeight="1" x14ac:dyDescent="0.25">
      <c r="A5" s="193"/>
      <c r="B5" s="193"/>
      <c r="C5" s="193"/>
      <c r="D5" s="193"/>
      <c r="E5" s="193"/>
      <c r="F5" s="196"/>
    </row>
    <row r="6" spans="1:32" ht="9.75" customHeight="1" x14ac:dyDescent="0.25">
      <c r="A6" s="178" t="s">
        <v>870</v>
      </c>
      <c r="B6" s="179" t="s">
        <v>871</v>
      </c>
      <c r="C6" s="179" t="s">
        <v>402</v>
      </c>
      <c r="D6" s="179" t="s">
        <v>401</v>
      </c>
      <c r="E6" s="179" t="s">
        <v>1173</v>
      </c>
      <c r="F6" s="179" t="s">
        <v>400</v>
      </c>
    </row>
    <row r="7" spans="1:32" ht="18" customHeight="1" x14ac:dyDescent="0.25">
      <c r="A7" s="303"/>
      <c r="B7" s="293"/>
      <c r="C7" s="293"/>
      <c r="D7" s="293"/>
      <c r="E7" s="293"/>
      <c r="F7" s="293"/>
    </row>
    <row r="8" spans="1:32" ht="6" customHeight="1" x14ac:dyDescent="0.25">
      <c r="C8" s="155"/>
      <c r="D8" s="155"/>
      <c r="E8" s="155"/>
      <c r="F8" s="155"/>
    </row>
    <row r="9" spans="1:32" ht="9.75" customHeight="1" x14ac:dyDescent="0.25">
      <c r="A9" s="185" t="s">
        <v>0</v>
      </c>
      <c r="B9" s="186"/>
      <c r="C9" s="187"/>
      <c r="D9" s="188"/>
      <c r="E9" s="185" t="s">
        <v>220</v>
      </c>
      <c r="F9" s="188"/>
    </row>
    <row r="10" spans="1:32" ht="34.5" customHeight="1" x14ac:dyDescent="0.25">
      <c r="A10" s="327"/>
      <c r="B10" s="328"/>
      <c r="C10" s="328"/>
      <c r="D10" s="329"/>
      <c r="E10" s="330"/>
      <c r="F10" s="331"/>
    </row>
    <row r="11" spans="1:32" ht="9.75" customHeight="1" x14ac:dyDescent="0.25">
      <c r="A11" s="178" t="s">
        <v>894</v>
      </c>
      <c r="B11" s="179" t="s">
        <v>895</v>
      </c>
      <c r="C11" s="179" t="s">
        <v>896</v>
      </c>
      <c r="D11" s="179" t="s">
        <v>897</v>
      </c>
      <c r="E11" s="181"/>
      <c r="F11" s="182"/>
    </row>
    <row r="12" spans="1:32" ht="18" customHeight="1" x14ac:dyDescent="0.25">
      <c r="A12" s="293"/>
      <c r="B12" s="293"/>
      <c r="C12" s="293"/>
      <c r="D12" s="293"/>
      <c r="E12" s="183"/>
      <c r="F12" s="184"/>
    </row>
    <row r="13" spans="1:32" ht="9.75" customHeight="1" x14ac:dyDescent="0.25">
      <c r="A13" s="178" t="s">
        <v>266</v>
      </c>
      <c r="B13" s="179" t="s">
        <v>235</v>
      </c>
      <c r="C13" s="179" t="s">
        <v>236</v>
      </c>
      <c r="D13" s="179" t="s">
        <v>237</v>
      </c>
      <c r="E13" s="179" t="s">
        <v>892</v>
      </c>
      <c r="F13" s="179" t="s">
        <v>893</v>
      </c>
    </row>
    <row r="14" spans="1:32" ht="22.5" customHeight="1" x14ac:dyDescent="0.25">
      <c r="A14" s="293"/>
      <c r="B14" s="293"/>
      <c r="C14" s="293"/>
      <c r="D14" s="293"/>
      <c r="E14" s="293"/>
      <c r="F14" s="293"/>
    </row>
    <row r="15" spans="1:32" ht="20.100000000000001" customHeight="1" x14ac:dyDescent="0.25">
      <c r="A15" s="192" t="s">
        <v>558</v>
      </c>
      <c r="B15" s="193"/>
      <c r="C15" s="194"/>
      <c r="D15" s="194"/>
      <c r="E15" s="194"/>
      <c r="F15" s="194"/>
    </row>
    <row r="16" spans="1:32" ht="9.75" customHeight="1" x14ac:dyDescent="0.25">
      <c r="A16" s="178" t="s">
        <v>875</v>
      </c>
      <c r="B16" s="179" t="s">
        <v>876</v>
      </c>
      <c r="C16" s="178" t="s">
        <v>221</v>
      </c>
      <c r="D16" s="179" t="s">
        <v>873</v>
      </c>
      <c r="E16" s="178" t="s">
        <v>874</v>
      </c>
      <c r="F16" s="178" t="s">
        <v>224</v>
      </c>
    </row>
    <row r="17" spans="1:7" ht="18" customHeight="1" x14ac:dyDescent="0.25">
      <c r="A17" s="293"/>
      <c r="B17" s="293"/>
      <c r="C17" s="293"/>
      <c r="D17" s="293"/>
      <c r="E17" s="293"/>
      <c r="F17" s="293"/>
    </row>
    <row r="18" spans="1:7" ht="9.75" customHeight="1" x14ac:dyDescent="0.25">
      <c r="A18" s="178" t="s">
        <v>225</v>
      </c>
      <c r="B18" s="178" t="s">
        <v>226</v>
      </c>
      <c r="C18" s="178" t="s">
        <v>227</v>
      </c>
      <c r="D18" s="179" t="s">
        <v>228</v>
      </c>
      <c r="E18" s="178" t="s">
        <v>229</v>
      </c>
      <c r="F18" s="178" t="s">
        <v>230</v>
      </c>
    </row>
    <row r="19" spans="1:7" ht="18" customHeight="1" x14ac:dyDescent="0.25">
      <c r="A19" s="293"/>
      <c r="B19" s="293"/>
      <c r="C19" s="293"/>
      <c r="D19" s="293"/>
      <c r="E19" s="293"/>
      <c r="F19" s="293"/>
    </row>
    <row r="20" spans="1:7" ht="9.75" customHeight="1" x14ac:dyDescent="0.25">
      <c r="A20" s="178" t="s">
        <v>877</v>
      </c>
      <c r="B20" s="178" t="s">
        <v>878</v>
      </c>
      <c r="C20" s="178" t="s">
        <v>879</v>
      </c>
      <c r="D20" s="179" t="s">
        <v>880</v>
      </c>
      <c r="E20" s="178" t="s">
        <v>881</v>
      </c>
      <c r="F20" s="178" t="s">
        <v>882</v>
      </c>
    </row>
    <row r="21" spans="1:7" ht="18" customHeight="1" x14ac:dyDescent="0.25">
      <c r="A21" s="293"/>
      <c r="B21" s="293"/>
      <c r="C21" s="293"/>
      <c r="D21" s="293"/>
      <c r="E21" s="293"/>
      <c r="F21" s="293"/>
    </row>
    <row r="22" spans="1:7" ht="9.75" customHeight="1" x14ac:dyDescent="0.25">
      <c r="A22" s="178" t="s">
        <v>883</v>
      </c>
      <c r="B22" s="178" t="s">
        <v>884</v>
      </c>
      <c r="C22" s="178" t="s">
        <v>885</v>
      </c>
      <c r="D22" s="179" t="s">
        <v>886</v>
      </c>
      <c r="E22" s="178" t="s">
        <v>887</v>
      </c>
      <c r="F22" s="178" t="s">
        <v>888</v>
      </c>
    </row>
    <row r="23" spans="1:7" ht="18" customHeight="1" x14ac:dyDescent="0.25">
      <c r="A23" s="293"/>
      <c r="B23" s="293"/>
      <c r="C23" s="293"/>
      <c r="D23" s="293"/>
      <c r="E23" s="293"/>
      <c r="F23" s="293"/>
    </row>
    <row r="24" spans="1:7" ht="9.75" customHeight="1" x14ac:dyDescent="0.25">
      <c r="A24" s="174" t="s">
        <v>240</v>
      </c>
      <c r="B24" s="175"/>
      <c r="C24" s="175"/>
      <c r="D24" s="176"/>
      <c r="E24" s="175"/>
      <c r="F24" s="177"/>
    </row>
    <row r="25" spans="1:7" ht="115.5" customHeight="1" x14ac:dyDescent="0.25">
      <c r="A25" s="332"/>
      <c r="B25" s="333"/>
      <c r="C25" s="333"/>
      <c r="D25" s="333"/>
      <c r="E25" s="333"/>
      <c r="F25" s="334"/>
    </row>
    <row r="26" spans="1:7" ht="20.100000000000001" customHeight="1" x14ac:dyDescent="0.25">
      <c r="A26" s="192" t="s">
        <v>889</v>
      </c>
      <c r="B26" s="193"/>
      <c r="C26" s="196"/>
      <c r="D26" s="193"/>
      <c r="E26" s="193"/>
      <c r="F26" s="193"/>
    </row>
    <row r="27" spans="1:7" ht="24.75" customHeight="1" x14ac:dyDescent="0.25">
      <c r="A27" s="220" t="s">
        <v>414</v>
      </c>
      <c r="B27" s="221" t="s">
        <v>415</v>
      </c>
      <c r="C27" s="222"/>
      <c r="D27" s="223" t="s">
        <v>416</v>
      </c>
      <c r="E27" s="224" t="s">
        <v>417</v>
      </c>
      <c r="F27" s="224" t="s">
        <v>418</v>
      </c>
    </row>
    <row r="28" spans="1:7" ht="18" customHeight="1" x14ac:dyDescent="0.25">
      <c r="A28" s="154"/>
      <c r="B28" s="323" t="str" cm="1">
        <f t="array" ref="B28">INDEX('Base PSP'!$A$9:$F$168,'ES Diversos'!$G$28,2)</f>
        <v>Reciclado 150g - A5</v>
      </c>
      <c r="C28" s="323"/>
      <c r="D28" s="295" cm="1">
        <f t="array" ref="D28">INDEX('Base PSP'!$A$9:$F$168,'ES Diversos'!$G$28,5)</f>
        <v>0.19</v>
      </c>
      <c r="E28" s="295"/>
      <c r="F28" s="308">
        <f>E28*D28</f>
        <v>0</v>
      </c>
      <c r="G28">
        <v>9</v>
      </c>
    </row>
    <row r="29" spans="1:7" ht="18" customHeight="1" x14ac:dyDescent="0.25">
      <c r="A29" s="154"/>
      <c r="B29" s="323" cm="1">
        <f t="array" ref="B29">INDEX('Base PSP'!$A$9:$F$168,'ES Diversos'!$G$29,2)</f>
        <v>0</v>
      </c>
      <c r="C29" s="323"/>
      <c r="D29" s="295" cm="1">
        <f t="array" ref="D29">INDEX('Base PSP'!$A$9:$F$168,'ES Diversos'!$G$29,5)</f>
        <v>0</v>
      </c>
      <c r="E29" s="295"/>
      <c r="F29" s="308">
        <f t="shared" ref="F29:F35" si="0">E29*D29</f>
        <v>0</v>
      </c>
      <c r="G29">
        <v>16</v>
      </c>
    </row>
    <row r="30" spans="1:7" ht="18" customHeight="1" x14ac:dyDescent="0.25">
      <c r="A30" s="154"/>
      <c r="B30" s="323" cm="1">
        <f t="array" ref="B30">INDEX('Base PSP'!$A$9:$F$168,'ES Diversos'!$G$30,2)</f>
        <v>0</v>
      </c>
      <c r="C30" s="323"/>
      <c r="D30" s="295" cm="1">
        <f t="array" ref="D30">INDEX('Base PSP'!$A$9:$F$168,'ES Diversos'!$G$30,5)</f>
        <v>0</v>
      </c>
      <c r="E30" s="158"/>
      <c r="F30" s="308">
        <f t="shared" si="0"/>
        <v>0</v>
      </c>
      <c r="G30">
        <v>37</v>
      </c>
    </row>
    <row r="31" spans="1:7" ht="18" customHeight="1" x14ac:dyDescent="0.25">
      <c r="A31" s="154"/>
      <c r="B31" s="323" cm="1">
        <f t="array" ref="B31">INDEX('Base PSP'!$A$9:$F$168,'ES Diversos'!$G$31,2)</f>
        <v>0</v>
      </c>
      <c r="C31" s="323"/>
      <c r="D31" s="295" cm="1">
        <f t="array" ref="D31">INDEX('Base PSP'!$A$9:$F$168,'ES Diversos'!$G$31,5)</f>
        <v>0</v>
      </c>
      <c r="E31" s="158"/>
      <c r="F31" s="308">
        <f t="shared" si="0"/>
        <v>0</v>
      </c>
      <c r="G31">
        <v>41</v>
      </c>
    </row>
    <row r="32" spans="1:7" ht="18" customHeight="1" x14ac:dyDescent="0.25">
      <c r="A32" s="154"/>
      <c r="B32" s="323" cm="1">
        <f t="array" ref="B32">INDEX('Base PSP'!$A$9:$F$168,'ES Diversos'!$G$32,2)</f>
        <v>0</v>
      </c>
      <c r="C32" s="323"/>
      <c r="D32" s="295" cm="1">
        <f t="array" ref="D32">INDEX('Base PSP'!$A$9:$F$168,'ES Diversos'!$G$32,5)</f>
        <v>0</v>
      </c>
      <c r="E32" s="158"/>
      <c r="F32" s="308">
        <f t="shared" si="0"/>
        <v>0</v>
      </c>
      <c r="G32">
        <v>153</v>
      </c>
    </row>
    <row r="33" spans="1:7" ht="18" customHeight="1" x14ac:dyDescent="0.25">
      <c r="A33" s="154"/>
      <c r="B33" s="323" cm="1">
        <f t="array" ref="B33">INDEX('Base PSP'!$A$9:$F$168,'ES Diversos'!$G$33,2)</f>
        <v>0</v>
      </c>
      <c r="C33" s="323"/>
      <c r="D33" s="295" cm="1">
        <f t="array" ref="D33">INDEX('Base PSP'!$A$9:$F$168,'ES Diversos'!$G$33,5)</f>
        <v>0</v>
      </c>
      <c r="E33" s="158"/>
      <c r="F33" s="308">
        <f t="shared" si="0"/>
        <v>0</v>
      </c>
      <c r="G33">
        <v>127</v>
      </c>
    </row>
    <row r="34" spans="1:7" ht="18" customHeight="1" x14ac:dyDescent="0.25">
      <c r="A34" s="154"/>
      <c r="B34" s="323" cm="1">
        <f t="array" ref="B34">INDEX('Base PSP'!$A$9:$F$168,'ES Diversos'!$G$34,2)</f>
        <v>0</v>
      </c>
      <c r="C34" s="323"/>
      <c r="D34" s="295" cm="1">
        <f t="array" ref="D34">INDEX('Base PSP'!$A$9:$F$168,'ES Diversos'!$G$34,5)</f>
        <v>0</v>
      </c>
      <c r="E34" s="158"/>
      <c r="F34" s="308">
        <f t="shared" si="0"/>
        <v>0</v>
      </c>
      <c r="G34">
        <v>129</v>
      </c>
    </row>
    <row r="35" spans="1:7" ht="18" customHeight="1" x14ac:dyDescent="0.25">
      <c r="A35" s="154"/>
      <c r="B35" s="323" cm="1">
        <f t="array" ref="B35">INDEX('Base PSP'!$A$9:$F$168,'ES Diversos'!$G$35,2)</f>
        <v>0</v>
      </c>
      <c r="C35" s="323"/>
      <c r="D35" s="295" cm="1">
        <f t="array" ref="D35">INDEX('Base PSP'!$A$9:$F$168,'ES Diversos'!$G$35,5)</f>
        <v>0</v>
      </c>
      <c r="E35" s="158"/>
      <c r="F35" s="308">
        <f t="shared" si="0"/>
        <v>0</v>
      </c>
      <c r="G35">
        <v>129</v>
      </c>
    </row>
    <row r="36" spans="1:7" ht="25.5" customHeight="1" x14ac:dyDescent="0.25">
      <c r="A36" s="225"/>
      <c r="B36" s="226"/>
      <c r="C36" s="226"/>
      <c r="D36" s="226"/>
      <c r="E36" s="227" t="s">
        <v>891</v>
      </c>
      <c r="F36" s="307">
        <f>SUM(F28:F35)</f>
        <v>0</v>
      </c>
    </row>
    <row r="37" spans="1:7" ht="20.100000000000001" customHeight="1" x14ac:dyDescent="0.25">
      <c r="A37" s="192" t="s">
        <v>431</v>
      </c>
      <c r="B37" s="309">
        <v>13</v>
      </c>
      <c r="C37" s="193"/>
      <c r="D37" s="193"/>
      <c r="E37" s="193"/>
      <c r="F37" s="193"/>
    </row>
    <row r="38" spans="1:7" x14ac:dyDescent="0.25">
      <c r="A38" s="219" t="s">
        <v>900</v>
      </c>
      <c r="B38" s="217" t="s">
        <v>890</v>
      </c>
      <c r="C38" s="228"/>
      <c r="D38" s="228"/>
      <c r="E38" s="218"/>
      <c r="F38" s="219" t="s">
        <v>898</v>
      </c>
    </row>
    <row r="39" spans="1:7" ht="18" customHeight="1" x14ac:dyDescent="0.25">
      <c r="A39" s="171"/>
      <c r="B39" s="172" t="str">
        <f>VLOOKUP($B$37,'Base Enderecos'!A1:C104,3)</f>
        <v>Pátio Oratório: Av. Oratório, 1.053  </v>
      </c>
      <c r="C39" s="173"/>
      <c r="D39" s="173"/>
      <c r="E39" s="159"/>
      <c r="F39" s="311"/>
    </row>
    <row r="40" spans="1:7" x14ac:dyDescent="0.25">
      <c r="A40" s="229" t="s">
        <v>434</v>
      </c>
      <c r="B40" s="230"/>
      <c r="C40" s="230"/>
      <c r="D40" s="231"/>
      <c r="E40" s="232" t="s">
        <v>435</v>
      </c>
      <c r="F40" s="233" t="s">
        <v>869</v>
      </c>
    </row>
    <row r="41" spans="1:7" ht="23.25" customHeight="1" x14ac:dyDescent="0.25">
      <c r="A41" s="324"/>
      <c r="B41" s="325"/>
      <c r="C41" s="325"/>
      <c r="D41" s="326"/>
      <c r="E41" s="310"/>
      <c r="F41" s="310"/>
    </row>
    <row r="43" spans="1:7" ht="27.75" customHeight="1" x14ac:dyDescent="0.25">
      <c r="A43" s="319"/>
      <c r="B43" s="319"/>
      <c r="C43" s="319"/>
      <c r="D43" s="319"/>
      <c r="E43" s="319"/>
      <c r="F43" s="319"/>
    </row>
  </sheetData>
  <mergeCells count="13">
    <mergeCell ref="A43:F43"/>
    <mergeCell ref="B33:C33"/>
    <mergeCell ref="B34:C34"/>
    <mergeCell ref="B35:C35"/>
    <mergeCell ref="A41:D41"/>
    <mergeCell ref="B30:C30"/>
    <mergeCell ref="B31:C31"/>
    <mergeCell ref="B32:C32"/>
    <mergeCell ref="A10:D10"/>
    <mergeCell ref="E10:F10"/>
    <mergeCell ref="A25:F25"/>
    <mergeCell ref="B28:C28"/>
    <mergeCell ref="B29:C29"/>
  </mergeCells>
  <pageMargins left="0.59055118110236227" right="0.31496062992125984" top="1.1811023622047245" bottom="0.59055118110236227" header="0.47244094488188981" footer="0.39370078740157483"/>
  <pageSetup paperSize="9" orientation="portrait" horizontalDpi="1200" verticalDpi="1200" r:id="rId1"/>
  <headerFooter>
    <oddHeader>&amp;L&amp;G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Drop Down 1">
              <controlPr defaultSize="0" autoLine="0" autoPict="0">
                <anchor moveWithCells="1">
                  <from>
                    <xdr:col>0</xdr:col>
                    <xdr:colOff>28575</xdr:colOff>
                    <xdr:row>38</xdr:row>
                    <xdr:rowOff>28575</xdr:rowOff>
                  </from>
                  <to>
                    <xdr:col>0</xdr:col>
                    <xdr:colOff>1019175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Drop Down 3">
              <controlPr defaultSize="0" autoLine="0" autoPict="0">
                <anchor moveWithCells="1">
                  <from>
                    <xdr:col>0</xdr:col>
                    <xdr:colOff>28575</xdr:colOff>
                    <xdr:row>27</xdr:row>
                    <xdr:rowOff>28575</xdr:rowOff>
                  </from>
                  <to>
                    <xdr:col>0</xdr:col>
                    <xdr:colOff>1000125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Drop Down 4">
              <controlPr defaultSize="0" autoLine="0" autoPict="0">
                <anchor moveWithCells="1">
                  <from>
                    <xdr:col>0</xdr:col>
                    <xdr:colOff>19050</xdr:colOff>
                    <xdr:row>28</xdr:row>
                    <xdr:rowOff>19050</xdr:rowOff>
                  </from>
                  <to>
                    <xdr:col>0</xdr:col>
                    <xdr:colOff>1000125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Drop Down 5">
              <controlPr defaultSize="0" autoLine="0" autoPict="0">
                <anchor moveWithCells="1">
                  <from>
                    <xdr:col>0</xdr:col>
                    <xdr:colOff>28575</xdr:colOff>
                    <xdr:row>29</xdr:row>
                    <xdr:rowOff>28575</xdr:rowOff>
                  </from>
                  <to>
                    <xdr:col>0</xdr:col>
                    <xdr:colOff>1009650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Drop Down 6">
              <controlPr defaultSize="0" autoLine="0" autoPict="0">
                <anchor moveWithCells="1">
                  <from>
                    <xdr:col>0</xdr:col>
                    <xdr:colOff>28575</xdr:colOff>
                    <xdr:row>30</xdr:row>
                    <xdr:rowOff>28575</xdr:rowOff>
                  </from>
                  <to>
                    <xdr:col>0</xdr:col>
                    <xdr:colOff>1009650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Drop Down 7">
              <controlPr defaultSize="0" autoLine="0" autoPict="0">
                <anchor moveWithCells="1">
                  <from>
                    <xdr:col>0</xdr:col>
                    <xdr:colOff>28575</xdr:colOff>
                    <xdr:row>31</xdr:row>
                    <xdr:rowOff>28575</xdr:rowOff>
                  </from>
                  <to>
                    <xdr:col>0</xdr:col>
                    <xdr:colOff>1009650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Drop Down 8">
              <controlPr defaultSize="0" autoLine="0" autoPict="0">
                <anchor moveWithCells="1">
                  <from>
                    <xdr:col>0</xdr:col>
                    <xdr:colOff>28575</xdr:colOff>
                    <xdr:row>32</xdr:row>
                    <xdr:rowOff>28575</xdr:rowOff>
                  </from>
                  <to>
                    <xdr:col>0</xdr:col>
                    <xdr:colOff>1009650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Drop Down 9">
              <controlPr defaultSize="0" autoLine="0" autoPict="0">
                <anchor moveWithCells="1">
                  <from>
                    <xdr:col>0</xdr:col>
                    <xdr:colOff>28575</xdr:colOff>
                    <xdr:row>33</xdr:row>
                    <xdr:rowOff>28575</xdr:rowOff>
                  </from>
                  <to>
                    <xdr:col>0</xdr:col>
                    <xdr:colOff>1009650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Drop Down 10">
              <controlPr defaultSize="0" autoLine="0" autoPict="0">
                <anchor moveWithCells="1">
                  <from>
                    <xdr:col>0</xdr:col>
                    <xdr:colOff>28575</xdr:colOff>
                    <xdr:row>34</xdr:row>
                    <xdr:rowOff>28575</xdr:rowOff>
                  </from>
                  <to>
                    <xdr:col>0</xdr:col>
                    <xdr:colOff>1009650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8AFBE-1F3E-4F31-B6CF-85D9DABF1C4A}">
  <sheetPr codeName="Planilha7"/>
  <dimension ref="A1:AV5"/>
  <sheetViews>
    <sheetView zoomScale="175" zoomScaleNormal="175" workbookViewId="0">
      <selection activeCell="A5" sqref="A5:F5"/>
    </sheetView>
  </sheetViews>
  <sheetFormatPr defaultRowHeight="14.25" x14ac:dyDescent="0.2"/>
  <cols>
    <col min="1" max="1" width="12.140625" style="314" customWidth="1"/>
    <col min="2" max="2" width="9.140625" style="314" bestFit="1" customWidth="1"/>
    <col min="3" max="3" width="6.140625" style="314" bestFit="1" customWidth="1"/>
    <col min="4" max="4" width="3.5703125" style="314" bestFit="1" customWidth="1"/>
    <col min="5" max="5" width="17.5703125" style="314" bestFit="1" customWidth="1"/>
    <col min="6" max="6" width="12.140625" style="314" customWidth="1"/>
    <col min="7" max="7" width="20.7109375" style="314" bestFit="1" customWidth="1"/>
    <col min="8" max="8" width="17.28515625" style="314" bestFit="1" customWidth="1"/>
    <col min="9" max="9" width="19.85546875" style="314" bestFit="1" customWidth="1"/>
    <col min="10" max="10" width="18.85546875" style="314" bestFit="1" customWidth="1"/>
    <col min="11" max="11" width="5.28515625" style="314" bestFit="1" customWidth="1"/>
    <col min="12" max="12" width="11.85546875" style="314" bestFit="1" customWidth="1"/>
    <col min="13" max="13" width="11.7109375" style="314" bestFit="1" customWidth="1"/>
    <col min="14" max="14" width="12.7109375" style="314" bestFit="1" customWidth="1"/>
    <col min="15" max="15" width="10.85546875" style="314" bestFit="1" customWidth="1"/>
    <col min="16" max="16" width="20.140625" style="314" bestFit="1" customWidth="1"/>
    <col min="17" max="17" width="16.42578125" style="314" bestFit="1" customWidth="1"/>
    <col min="18" max="18" width="9" style="314" bestFit="1" customWidth="1"/>
    <col min="19" max="19" width="20.28515625" style="314" bestFit="1" customWidth="1"/>
    <col min="20" max="20" width="15.5703125" style="314" bestFit="1" customWidth="1"/>
    <col min="21" max="21" width="21.140625" style="314" bestFit="1" customWidth="1"/>
    <col min="22" max="22" width="11.5703125" style="314" bestFit="1" customWidth="1"/>
    <col min="23" max="23" width="13.140625" style="314" bestFit="1" customWidth="1"/>
    <col min="24" max="24" width="10.140625" style="314" bestFit="1" customWidth="1"/>
    <col min="25" max="25" width="11.85546875" style="314" bestFit="1" customWidth="1"/>
    <col min="26" max="26" width="7.7109375" style="314" bestFit="1" customWidth="1"/>
    <col min="27" max="27" width="6.7109375" style="314" bestFit="1" customWidth="1"/>
    <col min="28" max="29" width="7.5703125" style="314" bestFit="1" customWidth="1"/>
    <col min="30" max="30" width="15.5703125" style="314" bestFit="1" customWidth="1"/>
    <col min="31" max="31" width="15.85546875" style="314" bestFit="1" customWidth="1"/>
    <col min="32" max="32" width="15.28515625" style="314" bestFit="1" customWidth="1"/>
    <col min="33" max="33" width="12.7109375" style="314" bestFit="1" customWidth="1"/>
    <col min="34" max="34" width="8.85546875" style="314" bestFit="1" customWidth="1"/>
    <col min="35" max="35" width="7.85546875" style="314" bestFit="1" customWidth="1"/>
    <col min="36" max="36" width="6.140625" style="314" bestFit="1" customWidth="1"/>
    <col min="37" max="37" width="9.28515625" style="314" bestFit="1" customWidth="1"/>
    <col min="38" max="38" width="9.5703125" style="314" bestFit="1" customWidth="1"/>
    <col min="39" max="39" width="16.7109375" style="314" bestFit="1" customWidth="1"/>
    <col min="40" max="40" width="18.42578125" style="314" bestFit="1" customWidth="1"/>
    <col min="41" max="41" width="5.28515625" style="314" bestFit="1" customWidth="1"/>
    <col min="42" max="42" width="11.85546875" style="314" bestFit="1" customWidth="1"/>
    <col min="43" max="43" width="7.28515625" style="314" bestFit="1" customWidth="1"/>
    <col min="44" max="44" width="6" style="314" bestFit="1" customWidth="1"/>
    <col min="45" max="45" width="6.7109375" style="314" bestFit="1" customWidth="1"/>
    <col min="46" max="46" width="7" style="314" bestFit="1" customWidth="1"/>
    <col min="47" max="47" width="11.42578125" style="314" bestFit="1" customWidth="1"/>
    <col min="48" max="48" width="15.5703125" style="314" bestFit="1" customWidth="1"/>
    <col min="49" max="49" width="13.28515625" style="314" bestFit="1" customWidth="1"/>
    <col min="50" max="16384" width="9.140625" style="314"/>
  </cols>
  <sheetData>
    <row r="1" spans="1:48" s="317" customFormat="1" ht="12.75" x14ac:dyDescent="0.2">
      <c r="A1" s="315" t="s">
        <v>870</v>
      </c>
      <c r="B1" s="316" t="s">
        <v>871</v>
      </c>
      <c r="C1" s="316" t="s">
        <v>402</v>
      </c>
      <c r="D1" s="316" t="s">
        <v>401</v>
      </c>
      <c r="E1" s="316" t="s">
        <v>1173</v>
      </c>
      <c r="F1" s="316" t="s">
        <v>400</v>
      </c>
      <c r="G1" s="315" t="s">
        <v>894</v>
      </c>
      <c r="H1" s="316" t="s">
        <v>895</v>
      </c>
      <c r="I1" s="316" t="s">
        <v>896</v>
      </c>
      <c r="J1" s="316" t="s">
        <v>897</v>
      </c>
      <c r="K1" s="315" t="s">
        <v>266</v>
      </c>
      <c r="L1" s="316" t="s">
        <v>235</v>
      </c>
      <c r="M1" s="316" t="s">
        <v>236</v>
      </c>
      <c r="N1" s="316" t="s">
        <v>237</v>
      </c>
      <c r="O1" s="316" t="s">
        <v>892</v>
      </c>
      <c r="P1" s="316" t="s">
        <v>893</v>
      </c>
      <c r="Q1" s="315" t="s">
        <v>875</v>
      </c>
      <c r="R1" s="316" t="s">
        <v>876</v>
      </c>
      <c r="S1" s="315" t="s">
        <v>221</v>
      </c>
      <c r="T1" s="316" t="s">
        <v>873</v>
      </c>
      <c r="U1" s="315" t="s">
        <v>874</v>
      </c>
      <c r="V1" s="315" t="s">
        <v>224</v>
      </c>
      <c r="W1" s="315" t="s">
        <v>225</v>
      </c>
      <c r="X1" s="315" t="s">
        <v>226</v>
      </c>
      <c r="Y1" s="315" t="s">
        <v>227</v>
      </c>
      <c r="Z1" s="316" t="s">
        <v>228</v>
      </c>
      <c r="AA1" s="315" t="s">
        <v>229</v>
      </c>
      <c r="AB1" s="315" t="s">
        <v>230</v>
      </c>
      <c r="AC1" s="315" t="s">
        <v>877</v>
      </c>
      <c r="AD1" s="315" t="s">
        <v>878</v>
      </c>
      <c r="AE1" s="315" t="s">
        <v>879</v>
      </c>
      <c r="AF1" s="316" t="s">
        <v>880</v>
      </c>
      <c r="AG1" s="315" t="s">
        <v>881</v>
      </c>
      <c r="AH1" s="315" t="s">
        <v>882</v>
      </c>
      <c r="AI1" s="315" t="s">
        <v>883</v>
      </c>
      <c r="AJ1" s="315" t="s">
        <v>884</v>
      </c>
      <c r="AK1" s="315" t="s">
        <v>885</v>
      </c>
      <c r="AL1" s="316" t="s">
        <v>886</v>
      </c>
      <c r="AM1" s="315" t="s">
        <v>887</v>
      </c>
      <c r="AN1" s="315" t="s">
        <v>888</v>
      </c>
      <c r="AO1" s="316" t="s">
        <v>414</v>
      </c>
      <c r="AP1" s="316" t="s">
        <v>415</v>
      </c>
      <c r="AQ1" s="316" t="s">
        <v>416</v>
      </c>
      <c r="AR1" s="316" t="s">
        <v>417</v>
      </c>
      <c r="AS1" s="316" t="s">
        <v>418</v>
      </c>
      <c r="AT1" s="315" t="s">
        <v>900</v>
      </c>
      <c r="AU1" s="315" t="s">
        <v>890</v>
      </c>
      <c r="AV1" s="315" t="s">
        <v>898</v>
      </c>
    </row>
    <row r="2" spans="1:48" s="318" customFormat="1" ht="15" x14ac:dyDescent="0.2">
      <c r="A2" s="303">
        <f ca="1">TODAY()</f>
        <v>44825</v>
      </c>
      <c r="B2" s="293">
        <v>5</v>
      </c>
      <c r="C2" s="293">
        <v>6</v>
      </c>
      <c r="D2" s="293">
        <v>7</v>
      </c>
      <c r="E2" s="293">
        <v>8</v>
      </c>
    </row>
    <row r="3" spans="1:48" s="313" customFormat="1" ht="12.75" x14ac:dyDescent="0.2">
      <c r="A3" s="313" t="s">
        <v>1189</v>
      </c>
      <c r="B3" s="313" t="s">
        <v>1190</v>
      </c>
      <c r="C3" s="313">
        <v>6</v>
      </c>
      <c r="D3" s="313">
        <v>7</v>
      </c>
      <c r="E3" s="313">
        <v>8</v>
      </c>
    </row>
    <row r="4" spans="1:48" s="313" customFormat="1" ht="12.75" x14ac:dyDescent="0.2">
      <c r="A4" s="313" t="s">
        <v>1189</v>
      </c>
      <c r="B4" s="313" t="s">
        <v>1190</v>
      </c>
      <c r="C4" s="313" t="s">
        <v>1191</v>
      </c>
      <c r="D4" s="313">
        <v>7</v>
      </c>
      <c r="E4" s="313">
        <v>8</v>
      </c>
      <c r="F4" s="313">
        <v>221</v>
      </c>
    </row>
    <row r="5" spans="1:48" s="313" customFormat="1" ht="12.75" x14ac:dyDescent="0.2">
      <c r="A5" s="313" t="s">
        <v>1189</v>
      </c>
      <c r="B5" s="313" t="s">
        <v>1192</v>
      </c>
      <c r="C5" s="313" t="s">
        <v>1191</v>
      </c>
      <c r="D5" s="313">
        <v>7</v>
      </c>
      <c r="E5" s="313">
        <v>8</v>
      </c>
      <c r="F5" s="313">
        <v>123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36672-B926-4E9C-8AD4-C9EFBF970F97}">
  <sheetPr codeName="Planilha8"/>
  <dimension ref="A1:H2"/>
  <sheetViews>
    <sheetView workbookViewId="0">
      <selection activeCell="E2" sqref="E2"/>
    </sheetView>
  </sheetViews>
  <sheetFormatPr defaultRowHeight="15" x14ac:dyDescent="0.25"/>
  <cols>
    <col min="2" max="2" width="22.42578125" customWidth="1"/>
    <col min="3" max="5" width="12.85546875" customWidth="1"/>
    <col min="6" max="6" width="12.42578125" customWidth="1"/>
    <col min="7" max="7" width="13.42578125" customWidth="1"/>
    <col min="8" max="8" width="12" customWidth="1"/>
  </cols>
  <sheetData>
    <row r="1" spans="1:8" x14ac:dyDescent="0.25">
      <c r="A1" s="316" t="s">
        <v>414</v>
      </c>
      <c r="B1" s="316" t="s">
        <v>415</v>
      </c>
      <c r="C1" s="316" t="s">
        <v>416</v>
      </c>
      <c r="D1" s="316" t="s">
        <v>849</v>
      </c>
      <c r="E1" s="316" t="s">
        <v>1188</v>
      </c>
      <c r="F1" s="316" t="s">
        <v>417</v>
      </c>
      <c r="G1" s="316" t="s">
        <v>418</v>
      </c>
      <c r="H1" s="316" t="s">
        <v>870</v>
      </c>
    </row>
    <row r="2" spans="1:8" x14ac:dyDescent="0.25">
      <c r="A2" s="157"/>
      <c r="B2" s="157"/>
      <c r="C2" s="157"/>
      <c r="D2" s="157"/>
      <c r="E2" s="157"/>
      <c r="F2" s="157"/>
      <c r="G2" s="157"/>
      <c r="H2" s="157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Y226"/>
  <sheetViews>
    <sheetView topLeftCell="A213" zoomScale="85" zoomScaleNormal="85" workbookViewId="0">
      <selection activeCell="E234" sqref="E234"/>
    </sheetView>
  </sheetViews>
  <sheetFormatPr defaultRowHeight="15" x14ac:dyDescent="0.25"/>
  <cols>
    <col min="1" max="1" width="7.140625" style="297" customWidth="1"/>
    <col min="2" max="2" width="9" customWidth="1"/>
    <col min="3" max="3" width="37.7109375" style="3" customWidth="1"/>
    <col min="4" max="4" width="20.140625" style="1" bestFit="1" customWidth="1"/>
    <col min="5" max="5" width="24" style="2" bestFit="1" customWidth="1"/>
    <col min="6" max="6" width="9.5703125" style="2" bestFit="1" customWidth="1"/>
    <col min="7" max="7" width="20.140625" style="2" bestFit="1" customWidth="1"/>
    <col min="8" max="8" width="16.140625" style="2" bestFit="1" customWidth="1"/>
    <col min="9" max="9" width="20.42578125" style="2" bestFit="1" customWidth="1"/>
    <col min="10" max="10" width="14.7109375" style="2" bestFit="1" customWidth="1"/>
    <col min="11" max="11" width="16.7109375" style="2" bestFit="1" customWidth="1"/>
    <col min="12" max="12" width="12.42578125" style="2" bestFit="1" customWidth="1"/>
    <col min="13" max="13" width="11.85546875" style="2" bestFit="1" customWidth="1"/>
    <col min="14" max="14" width="12.7109375" style="2" bestFit="1" customWidth="1"/>
    <col min="15" max="15" width="16.140625" style="297" bestFit="1" customWidth="1"/>
    <col min="16" max="16" width="16.42578125" style="297" bestFit="1" customWidth="1"/>
    <col min="17" max="17" width="16.140625" style="297" bestFit="1" customWidth="1"/>
    <col min="18" max="18" width="15.5703125" style="297" bestFit="1" customWidth="1"/>
    <col min="19" max="19" width="10.42578125" style="297" bestFit="1" customWidth="1"/>
    <col min="20" max="20" width="21.140625" style="2" bestFit="1" customWidth="1"/>
    <col min="21" max="21" width="19.140625" style="2" bestFit="1" customWidth="1"/>
    <col min="22" max="22" width="17.85546875" style="2" bestFit="1" customWidth="1"/>
    <col min="23" max="23" width="14" style="2" customWidth="1"/>
    <col min="24" max="24" width="23" style="2" bestFit="1" customWidth="1"/>
    <col min="25" max="25" width="164.42578125" style="2" customWidth="1"/>
  </cols>
  <sheetData>
    <row r="1" spans="1:25" s="2" customFormat="1" x14ac:dyDescent="0.25">
      <c r="A1" s="296" t="s">
        <v>414</v>
      </c>
      <c r="B1" s="197" t="s">
        <v>1123</v>
      </c>
      <c r="C1" s="198" t="s">
        <v>0</v>
      </c>
      <c r="D1" s="197" t="s">
        <v>220</v>
      </c>
      <c r="E1" s="197" t="s">
        <v>221</v>
      </c>
      <c r="F1" s="197" t="s">
        <v>222</v>
      </c>
      <c r="G1" s="197" t="s">
        <v>223</v>
      </c>
      <c r="H1" s="197" t="s">
        <v>224</v>
      </c>
      <c r="I1" s="197" t="s">
        <v>225</v>
      </c>
      <c r="J1" s="197" t="s">
        <v>226</v>
      </c>
      <c r="K1" s="197" t="s">
        <v>227</v>
      </c>
      <c r="L1" s="197" t="s">
        <v>228</v>
      </c>
      <c r="M1" s="197" t="s">
        <v>229</v>
      </c>
      <c r="N1" s="197" t="s">
        <v>230</v>
      </c>
      <c r="O1" s="298" t="s">
        <v>231</v>
      </c>
      <c r="P1" s="298" t="s">
        <v>232</v>
      </c>
      <c r="Q1" s="298" t="s">
        <v>233</v>
      </c>
      <c r="R1" s="298" t="s">
        <v>234</v>
      </c>
      <c r="S1" s="298" t="s">
        <v>266</v>
      </c>
      <c r="T1" s="197" t="s">
        <v>235</v>
      </c>
      <c r="U1" s="197" t="s">
        <v>236</v>
      </c>
      <c r="V1" s="197" t="s">
        <v>237</v>
      </c>
      <c r="W1" s="197" t="s">
        <v>238</v>
      </c>
      <c r="X1" s="197" t="s">
        <v>239</v>
      </c>
      <c r="Y1" s="199" t="s">
        <v>240</v>
      </c>
    </row>
    <row r="2" spans="1:25" x14ac:dyDescent="0.25">
      <c r="A2" s="214">
        <v>1</v>
      </c>
      <c r="B2" s="200" t="s">
        <v>902</v>
      </c>
      <c r="C2" s="201" t="s">
        <v>1</v>
      </c>
      <c r="D2" s="200" t="s">
        <v>250</v>
      </c>
      <c r="E2" s="200" t="s">
        <v>251</v>
      </c>
      <c r="F2" s="200" t="s">
        <v>242</v>
      </c>
      <c r="G2" s="200" t="s">
        <v>243</v>
      </c>
      <c r="H2" s="200" t="s">
        <v>243</v>
      </c>
      <c r="I2" s="200" t="s">
        <v>243</v>
      </c>
      <c r="J2" s="200" t="s">
        <v>243</v>
      </c>
      <c r="K2" s="200" t="s">
        <v>243</v>
      </c>
      <c r="L2" s="200" t="s">
        <v>243</v>
      </c>
      <c r="M2" s="200" t="s">
        <v>243</v>
      </c>
      <c r="N2" s="200" t="s">
        <v>243</v>
      </c>
      <c r="O2" s="299">
        <v>20</v>
      </c>
      <c r="P2" s="299">
        <v>7</v>
      </c>
      <c r="Q2" s="299">
        <v>7</v>
      </c>
      <c r="R2" s="299">
        <v>7</v>
      </c>
      <c r="S2" s="299"/>
      <c r="T2" s="200" t="s">
        <v>244</v>
      </c>
      <c r="U2" s="200" t="s">
        <v>245</v>
      </c>
      <c r="V2" s="200" t="s">
        <v>246</v>
      </c>
      <c r="W2" s="200" t="s">
        <v>247</v>
      </c>
      <c r="X2" s="200" t="s">
        <v>248</v>
      </c>
      <c r="Y2" s="202" t="s">
        <v>249</v>
      </c>
    </row>
    <row r="3" spans="1:25" x14ac:dyDescent="0.25">
      <c r="A3" s="215">
        <v>2</v>
      </c>
      <c r="B3" s="203" t="s">
        <v>903</v>
      </c>
      <c r="C3" s="204" t="s">
        <v>2</v>
      </c>
      <c r="D3" s="203" t="s">
        <v>250</v>
      </c>
      <c r="E3" s="203" t="s">
        <v>251</v>
      </c>
      <c r="F3" s="203" t="s">
        <v>242</v>
      </c>
      <c r="G3" s="203" t="s">
        <v>243</v>
      </c>
      <c r="H3" s="203" t="s">
        <v>243</v>
      </c>
      <c r="I3" s="203" t="s">
        <v>243</v>
      </c>
      <c r="J3" s="203" t="s">
        <v>243</v>
      </c>
      <c r="K3" s="203" t="s">
        <v>243</v>
      </c>
      <c r="L3" s="203" t="s">
        <v>243</v>
      </c>
      <c r="M3" s="203" t="s">
        <v>243</v>
      </c>
      <c r="N3" s="203" t="s">
        <v>243</v>
      </c>
      <c r="O3" s="300">
        <v>15</v>
      </c>
      <c r="P3" s="300">
        <v>7</v>
      </c>
      <c r="Q3" s="300">
        <v>7</v>
      </c>
      <c r="R3" s="300">
        <v>7</v>
      </c>
      <c r="S3" s="300"/>
      <c r="T3" s="203" t="s">
        <v>244</v>
      </c>
      <c r="U3" s="203" t="s">
        <v>245</v>
      </c>
      <c r="V3" s="203" t="s">
        <v>246</v>
      </c>
      <c r="W3" s="203" t="s">
        <v>247</v>
      </c>
      <c r="X3" s="203" t="s">
        <v>248</v>
      </c>
      <c r="Y3" s="205" t="s">
        <v>249</v>
      </c>
    </row>
    <row r="4" spans="1:25" x14ac:dyDescent="0.25">
      <c r="A4" s="214">
        <v>3</v>
      </c>
      <c r="B4" s="200" t="s">
        <v>904</v>
      </c>
      <c r="C4" s="201" t="s">
        <v>3</v>
      </c>
      <c r="D4" s="200" t="s">
        <v>250</v>
      </c>
      <c r="E4" s="200" t="s">
        <v>251</v>
      </c>
      <c r="F4" s="200" t="s">
        <v>242</v>
      </c>
      <c r="G4" s="200" t="s">
        <v>243</v>
      </c>
      <c r="H4" s="200" t="s">
        <v>243</v>
      </c>
      <c r="I4" s="200" t="s">
        <v>243</v>
      </c>
      <c r="J4" s="200" t="s">
        <v>243</v>
      </c>
      <c r="K4" s="200" t="s">
        <v>243</v>
      </c>
      <c r="L4" s="200" t="s">
        <v>243</v>
      </c>
      <c r="M4" s="200" t="s">
        <v>243</v>
      </c>
      <c r="N4" s="200" t="s">
        <v>243</v>
      </c>
      <c r="O4" s="299">
        <v>25</v>
      </c>
      <c r="P4" s="299">
        <v>7</v>
      </c>
      <c r="Q4" s="299">
        <v>7</v>
      </c>
      <c r="R4" s="299">
        <v>7</v>
      </c>
      <c r="S4" s="299"/>
      <c r="T4" s="200" t="s">
        <v>244</v>
      </c>
      <c r="U4" s="200" t="s">
        <v>245</v>
      </c>
      <c r="V4" s="200" t="s">
        <v>246</v>
      </c>
      <c r="W4" s="200" t="s">
        <v>247</v>
      </c>
      <c r="X4" s="200" t="s">
        <v>248</v>
      </c>
      <c r="Y4" s="202" t="s">
        <v>249</v>
      </c>
    </row>
    <row r="5" spans="1:25" x14ac:dyDescent="0.25">
      <c r="A5" s="215">
        <v>4</v>
      </c>
      <c r="B5" s="203" t="s">
        <v>905</v>
      </c>
      <c r="C5" s="204" t="s">
        <v>4</v>
      </c>
      <c r="D5" s="203" t="s">
        <v>250</v>
      </c>
      <c r="E5" s="203" t="s">
        <v>251</v>
      </c>
      <c r="F5" s="203" t="s">
        <v>242</v>
      </c>
      <c r="G5" s="203" t="s">
        <v>243</v>
      </c>
      <c r="H5" s="203" t="s">
        <v>243</v>
      </c>
      <c r="I5" s="203" t="s">
        <v>243</v>
      </c>
      <c r="J5" s="203" t="s">
        <v>243</v>
      </c>
      <c r="K5" s="203" t="s">
        <v>243</v>
      </c>
      <c r="L5" s="203" t="s">
        <v>243</v>
      </c>
      <c r="M5" s="203" t="s">
        <v>243</v>
      </c>
      <c r="N5" s="203" t="s">
        <v>243</v>
      </c>
      <c r="O5" s="300">
        <v>15</v>
      </c>
      <c r="P5" s="300">
        <v>7</v>
      </c>
      <c r="Q5" s="300">
        <v>7</v>
      </c>
      <c r="R5" s="300">
        <v>7</v>
      </c>
      <c r="S5" s="300"/>
      <c r="T5" s="203" t="s">
        <v>244</v>
      </c>
      <c r="U5" s="203" t="s">
        <v>245</v>
      </c>
      <c r="V5" s="203" t="s">
        <v>246</v>
      </c>
      <c r="W5" s="203" t="s">
        <v>247</v>
      </c>
      <c r="X5" s="203" t="s">
        <v>248</v>
      </c>
      <c r="Y5" s="205" t="s">
        <v>249</v>
      </c>
    </row>
    <row r="6" spans="1:25" s="4" customFormat="1" ht="45" x14ac:dyDescent="0.25">
      <c r="A6" s="214">
        <v>5</v>
      </c>
      <c r="B6" s="200" t="s">
        <v>906</v>
      </c>
      <c r="C6" s="201" t="s">
        <v>5</v>
      </c>
      <c r="D6" s="200" t="s">
        <v>262</v>
      </c>
      <c r="E6" s="200" t="s">
        <v>241</v>
      </c>
      <c r="F6" s="200" t="s">
        <v>242</v>
      </c>
      <c r="G6" s="200" t="s">
        <v>263</v>
      </c>
      <c r="H6" s="200" t="s">
        <v>264</v>
      </c>
      <c r="I6" s="200" t="s">
        <v>265</v>
      </c>
      <c r="J6" s="200" t="s">
        <v>243</v>
      </c>
      <c r="K6" s="200" t="s">
        <v>243</v>
      </c>
      <c r="L6" s="200" t="s">
        <v>243</v>
      </c>
      <c r="M6" s="200" t="s">
        <v>243</v>
      </c>
      <c r="N6" s="200" t="s">
        <v>243</v>
      </c>
      <c r="O6" s="299">
        <v>20</v>
      </c>
      <c r="P6" s="299">
        <v>5</v>
      </c>
      <c r="Q6" s="299">
        <v>5</v>
      </c>
      <c r="R6" s="299">
        <v>5</v>
      </c>
      <c r="S6" s="299">
        <v>3</v>
      </c>
      <c r="T6" s="206" t="s">
        <v>267</v>
      </c>
      <c r="U6" s="206" t="s">
        <v>321</v>
      </c>
      <c r="V6" s="206" t="s">
        <v>268</v>
      </c>
      <c r="W6" s="206" t="s">
        <v>269</v>
      </c>
      <c r="X6" s="206" t="s">
        <v>313</v>
      </c>
      <c r="Y6" s="202" t="s">
        <v>384</v>
      </c>
    </row>
    <row r="7" spans="1:25" x14ac:dyDescent="0.25">
      <c r="A7" s="215">
        <v>6</v>
      </c>
      <c r="B7" s="203" t="s">
        <v>907</v>
      </c>
      <c r="C7" s="204" t="s">
        <v>6</v>
      </c>
      <c r="D7" s="203" t="s">
        <v>250</v>
      </c>
      <c r="E7" s="203" t="s">
        <v>251</v>
      </c>
      <c r="F7" s="203" t="s">
        <v>242</v>
      </c>
      <c r="G7" s="203" t="s">
        <v>243</v>
      </c>
      <c r="H7" s="203" t="s">
        <v>243</v>
      </c>
      <c r="I7" s="203" t="s">
        <v>243</v>
      </c>
      <c r="J7" s="203" t="s">
        <v>243</v>
      </c>
      <c r="K7" s="203" t="s">
        <v>243</v>
      </c>
      <c r="L7" s="203" t="s">
        <v>243</v>
      </c>
      <c r="M7" s="203" t="s">
        <v>243</v>
      </c>
      <c r="N7" s="203" t="s">
        <v>243</v>
      </c>
      <c r="O7" s="300">
        <v>15</v>
      </c>
      <c r="P7" s="300">
        <v>7</v>
      </c>
      <c r="Q7" s="300">
        <v>7</v>
      </c>
      <c r="R7" s="300">
        <v>7</v>
      </c>
      <c r="S7" s="300"/>
      <c r="T7" s="203" t="s">
        <v>244</v>
      </c>
      <c r="U7" s="203" t="s">
        <v>245</v>
      </c>
      <c r="V7" s="203" t="s">
        <v>246</v>
      </c>
      <c r="W7" s="203" t="s">
        <v>247</v>
      </c>
      <c r="X7" s="203" t="s">
        <v>248</v>
      </c>
      <c r="Y7" s="205" t="s">
        <v>249</v>
      </c>
    </row>
    <row r="8" spans="1:25" ht="30" x14ac:dyDescent="0.25">
      <c r="A8" s="214">
        <v>7</v>
      </c>
      <c r="B8" s="200" t="s">
        <v>908</v>
      </c>
      <c r="C8" s="201" t="s">
        <v>7</v>
      </c>
      <c r="D8" s="200" t="s">
        <v>250</v>
      </c>
      <c r="E8" s="200" t="s">
        <v>251</v>
      </c>
      <c r="F8" s="200" t="s">
        <v>242</v>
      </c>
      <c r="G8" s="200" t="s">
        <v>243</v>
      </c>
      <c r="H8" s="200" t="s">
        <v>243</v>
      </c>
      <c r="I8" s="200" t="s">
        <v>243</v>
      </c>
      <c r="J8" s="200" t="s">
        <v>243</v>
      </c>
      <c r="K8" s="200" t="s">
        <v>243</v>
      </c>
      <c r="L8" s="200" t="s">
        <v>243</v>
      </c>
      <c r="M8" s="200" t="s">
        <v>243</v>
      </c>
      <c r="N8" s="200" t="s">
        <v>243</v>
      </c>
      <c r="O8" s="299">
        <v>15</v>
      </c>
      <c r="P8" s="299">
        <v>7</v>
      </c>
      <c r="Q8" s="299">
        <v>7</v>
      </c>
      <c r="R8" s="299">
        <v>7</v>
      </c>
      <c r="S8" s="299"/>
      <c r="T8" s="200" t="s">
        <v>244</v>
      </c>
      <c r="U8" s="200" t="s">
        <v>245</v>
      </c>
      <c r="V8" s="200" t="s">
        <v>246</v>
      </c>
      <c r="W8" s="200" t="s">
        <v>247</v>
      </c>
      <c r="X8" s="200" t="s">
        <v>248</v>
      </c>
      <c r="Y8" s="202" t="s">
        <v>249</v>
      </c>
    </row>
    <row r="9" spans="1:25" ht="30" x14ac:dyDescent="0.25">
      <c r="A9" s="215">
        <v>8</v>
      </c>
      <c r="B9" s="203" t="s">
        <v>909</v>
      </c>
      <c r="C9" s="204" t="s">
        <v>8</v>
      </c>
      <c r="D9" s="203" t="s">
        <v>250</v>
      </c>
      <c r="E9" s="203" t="s">
        <v>251</v>
      </c>
      <c r="F9" s="203" t="s">
        <v>242</v>
      </c>
      <c r="G9" s="203" t="s">
        <v>243</v>
      </c>
      <c r="H9" s="203" t="s">
        <v>243</v>
      </c>
      <c r="I9" s="203" t="s">
        <v>243</v>
      </c>
      <c r="J9" s="203" t="s">
        <v>243</v>
      </c>
      <c r="K9" s="203" t="s">
        <v>243</v>
      </c>
      <c r="L9" s="203" t="s">
        <v>243</v>
      </c>
      <c r="M9" s="203" t="s">
        <v>243</v>
      </c>
      <c r="N9" s="203" t="s">
        <v>243</v>
      </c>
      <c r="O9" s="300">
        <v>15</v>
      </c>
      <c r="P9" s="300">
        <v>7</v>
      </c>
      <c r="Q9" s="300">
        <v>7</v>
      </c>
      <c r="R9" s="300">
        <v>7</v>
      </c>
      <c r="S9" s="300"/>
      <c r="T9" s="203" t="s">
        <v>244</v>
      </c>
      <c r="U9" s="203" t="s">
        <v>245</v>
      </c>
      <c r="V9" s="203" t="s">
        <v>246</v>
      </c>
      <c r="W9" s="203" t="s">
        <v>247</v>
      </c>
      <c r="X9" s="203" t="s">
        <v>248</v>
      </c>
      <c r="Y9" s="205" t="s">
        <v>249</v>
      </c>
    </row>
    <row r="10" spans="1:25" x14ac:dyDescent="0.25">
      <c r="A10" s="214">
        <v>9</v>
      </c>
      <c r="B10" s="200" t="s">
        <v>910</v>
      </c>
      <c r="C10" s="201" t="s">
        <v>9</v>
      </c>
      <c r="D10" s="200" t="s">
        <v>270</v>
      </c>
      <c r="E10" s="200" t="s">
        <v>241</v>
      </c>
      <c r="F10" s="200" t="s">
        <v>242</v>
      </c>
      <c r="G10" s="200" t="s">
        <v>243</v>
      </c>
      <c r="H10" s="200" t="s">
        <v>243</v>
      </c>
      <c r="I10" s="200" t="s">
        <v>243</v>
      </c>
      <c r="J10" s="200" t="s">
        <v>243</v>
      </c>
      <c r="K10" s="200" t="s">
        <v>243</v>
      </c>
      <c r="L10" s="200" t="s">
        <v>243</v>
      </c>
      <c r="M10" s="200" t="s">
        <v>243</v>
      </c>
      <c r="N10" s="200" t="s">
        <v>243</v>
      </c>
      <c r="O10" s="299">
        <v>3</v>
      </c>
      <c r="P10" s="299">
        <v>3</v>
      </c>
      <c r="Q10" s="299">
        <v>3</v>
      </c>
      <c r="R10" s="299">
        <v>3</v>
      </c>
      <c r="S10" s="299">
        <v>1</v>
      </c>
      <c r="T10" s="200" t="s">
        <v>244</v>
      </c>
      <c r="U10" s="200" t="s">
        <v>245</v>
      </c>
      <c r="V10" s="200" t="s">
        <v>246</v>
      </c>
      <c r="W10" s="200" t="s">
        <v>247</v>
      </c>
      <c r="X10" s="200" t="s">
        <v>248</v>
      </c>
      <c r="Y10" s="202" t="s">
        <v>249</v>
      </c>
    </row>
    <row r="11" spans="1:25" x14ac:dyDescent="0.25">
      <c r="A11" s="215">
        <v>10</v>
      </c>
      <c r="B11" s="203" t="s">
        <v>911</v>
      </c>
      <c r="C11" s="204" t="s">
        <v>10</v>
      </c>
      <c r="D11" s="203" t="s">
        <v>252</v>
      </c>
      <c r="E11" s="203" t="s">
        <v>241</v>
      </c>
      <c r="F11" s="203" t="s">
        <v>242</v>
      </c>
      <c r="G11" s="203" t="s">
        <v>243</v>
      </c>
      <c r="H11" s="203" t="s">
        <v>243</v>
      </c>
      <c r="I11" s="203" t="s">
        <v>243</v>
      </c>
      <c r="J11" s="203" t="s">
        <v>253</v>
      </c>
      <c r="K11" s="203" t="s">
        <v>243</v>
      </c>
      <c r="L11" s="203" t="s">
        <v>243</v>
      </c>
      <c r="M11" s="203" t="s">
        <v>243</v>
      </c>
      <c r="N11" s="203" t="s">
        <v>243</v>
      </c>
      <c r="O11" s="300">
        <v>15</v>
      </c>
      <c r="P11" s="300">
        <v>4</v>
      </c>
      <c r="Q11" s="300">
        <v>7</v>
      </c>
      <c r="R11" s="300">
        <v>7</v>
      </c>
      <c r="S11" s="300"/>
      <c r="T11" s="203" t="s">
        <v>244</v>
      </c>
      <c r="U11" s="203" t="s">
        <v>245</v>
      </c>
      <c r="V11" s="203" t="s">
        <v>246</v>
      </c>
      <c r="W11" s="203" t="s">
        <v>247</v>
      </c>
      <c r="X11" s="203" t="s">
        <v>248</v>
      </c>
      <c r="Y11" s="205" t="s">
        <v>254</v>
      </c>
    </row>
    <row r="12" spans="1:25" ht="30" x14ac:dyDescent="0.25">
      <c r="A12" s="214">
        <v>11</v>
      </c>
      <c r="B12" s="200" t="s">
        <v>912</v>
      </c>
      <c r="C12" s="201" t="s">
        <v>11</v>
      </c>
      <c r="D12" s="200" t="s">
        <v>250</v>
      </c>
      <c r="E12" s="200" t="s">
        <v>251</v>
      </c>
      <c r="F12" s="200" t="s">
        <v>242</v>
      </c>
      <c r="G12" s="200" t="s">
        <v>243</v>
      </c>
      <c r="H12" s="200" t="s">
        <v>243</v>
      </c>
      <c r="I12" s="200" t="s">
        <v>243</v>
      </c>
      <c r="J12" s="200" t="s">
        <v>243</v>
      </c>
      <c r="K12" s="200" t="s">
        <v>243</v>
      </c>
      <c r="L12" s="200" t="s">
        <v>243</v>
      </c>
      <c r="M12" s="200" t="s">
        <v>243</v>
      </c>
      <c r="N12" s="200" t="s">
        <v>243</v>
      </c>
      <c r="O12" s="299" t="s">
        <v>255</v>
      </c>
      <c r="P12" s="299" t="s">
        <v>255</v>
      </c>
      <c r="Q12" s="299">
        <v>7</v>
      </c>
      <c r="R12" s="299" t="s">
        <v>255</v>
      </c>
      <c r="S12" s="299"/>
      <c r="T12" s="200" t="s">
        <v>244</v>
      </c>
      <c r="U12" s="200" t="s">
        <v>245</v>
      </c>
      <c r="V12" s="200" t="s">
        <v>246</v>
      </c>
      <c r="W12" s="200" t="s">
        <v>247</v>
      </c>
      <c r="X12" s="200" t="s">
        <v>248</v>
      </c>
      <c r="Y12" s="202" t="s">
        <v>249</v>
      </c>
    </row>
    <row r="13" spans="1:25" x14ac:dyDescent="0.25">
      <c r="A13" s="215">
        <v>12</v>
      </c>
      <c r="B13" s="203" t="s">
        <v>913</v>
      </c>
      <c r="C13" s="204" t="s">
        <v>12</v>
      </c>
      <c r="D13" s="203" t="s">
        <v>250</v>
      </c>
      <c r="E13" s="203" t="s">
        <v>251</v>
      </c>
      <c r="F13" s="203" t="s">
        <v>242</v>
      </c>
      <c r="G13" s="203" t="s">
        <v>243</v>
      </c>
      <c r="H13" s="203" t="s">
        <v>243</v>
      </c>
      <c r="I13" s="203" t="s">
        <v>243</v>
      </c>
      <c r="J13" s="203" t="s">
        <v>243</v>
      </c>
      <c r="K13" s="203" t="s">
        <v>243</v>
      </c>
      <c r="L13" s="203" t="s">
        <v>243</v>
      </c>
      <c r="M13" s="203" t="s">
        <v>243</v>
      </c>
      <c r="N13" s="203" t="s">
        <v>243</v>
      </c>
      <c r="O13" s="300">
        <v>25</v>
      </c>
      <c r="P13" s="300">
        <v>7</v>
      </c>
      <c r="Q13" s="300">
        <v>7</v>
      </c>
      <c r="R13" s="300">
        <v>7</v>
      </c>
      <c r="S13" s="300"/>
      <c r="T13" s="203" t="s">
        <v>244</v>
      </c>
      <c r="U13" s="203" t="s">
        <v>245</v>
      </c>
      <c r="V13" s="203" t="s">
        <v>246</v>
      </c>
      <c r="W13" s="203" t="s">
        <v>247</v>
      </c>
      <c r="X13" s="203" t="s">
        <v>248</v>
      </c>
      <c r="Y13" s="205" t="s">
        <v>249</v>
      </c>
    </row>
    <row r="14" spans="1:25" x14ac:dyDescent="0.25">
      <c r="A14" s="214">
        <v>13</v>
      </c>
      <c r="B14" s="200" t="s">
        <v>914</v>
      </c>
      <c r="C14" s="201" t="s">
        <v>13</v>
      </c>
      <c r="D14" s="200" t="s">
        <v>250</v>
      </c>
      <c r="E14" s="200" t="s">
        <v>251</v>
      </c>
      <c r="F14" s="200" t="s">
        <v>242</v>
      </c>
      <c r="G14" s="200" t="s">
        <v>243</v>
      </c>
      <c r="H14" s="200" t="s">
        <v>243</v>
      </c>
      <c r="I14" s="200" t="s">
        <v>243</v>
      </c>
      <c r="J14" s="200" t="s">
        <v>243</v>
      </c>
      <c r="K14" s="200" t="s">
        <v>243</v>
      </c>
      <c r="L14" s="200" t="s">
        <v>243</v>
      </c>
      <c r="M14" s="200" t="s">
        <v>243</v>
      </c>
      <c r="N14" s="200" t="s">
        <v>243</v>
      </c>
      <c r="O14" s="299" t="s">
        <v>255</v>
      </c>
      <c r="P14" s="299" t="s">
        <v>255</v>
      </c>
      <c r="Q14" s="299">
        <v>7</v>
      </c>
      <c r="R14" s="299" t="s">
        <v>255</v>
      </c>
      <c r="S14" s="299"/>
      <c r="T14" s="200" t="s">
        <v>244</v>
      </c>
      <c r="U14" s="200" t="s">
        <v>245</v>
      </c>
      <c r="V14" s="200" t="s">
        <v>246</v>
      </c>
      <c r="W14" s="200" t="s">
        <v>247</v>
      </c>
      <c r="X14" s="200" t="s">
        <v>248</v>
      </c>
      <c r="Y14" s="202" t="s">
        <v>249</v>
      </c>
    </row>
    <row r="15" spans="1:25" ht="45" x14ac:dyDescent="0.25">
      <c r="A15" s="215">
        <v>14</v>
      </c>
      <c r="B15" s="203" t="s">
        <v>915</v>
      </c>
      <c r="C15" s="204" t="s">
        <v>14</v>
      </c>
      <c r="D15" s="203" t="s">
        <v>271</v>
      </c>
      <c r="E15" s="203" t="s">
        <v>241</v>
      </c>
      <c r="F15" s="203" t="s">
        <v>242</v>
      </c>
      <c r="G15" s="203" t="s">
        <v>243</v>
      </c>
      <c r="H15" s="203" t="s">
        <v>243</v>
      </c>
      <c r="I15" s="203" t="s">
        <v>243</v>
      </c>
      <c r="J15" s="203" t="s">
        <v>243</v>
      </c>
      <c r="K15" s="203" t="s">
        <v>243</v>
      </c>
      <c r="L15" s="203" t="s">
        <v>243</v>
      </c>
      <c r="M15" s="203" t="s">
        <v>243</v>
      </c>
      <c r="N15" s="203" t="s">
        <v>243</v>
      </c>
      <c r="O15" s="300">
        <v>20</v>
      </c>
      <c r="P15" s="300"/>
      <c r="Q15" s="300">
        <v>7</v>
      </c>
      <c r="R15" s="300"/>
      <c r="S15" s="300">
        <v>1</v>
      </c>
      <c r="T15" s="203" t="s">
        <v>244</v>
      </c>
      <c r="U15" s="203" t="s">
        <v>245</v>
      </c>
      <c r="V15" s="203" t="s">
        <v>246</v>
      </c>
      <c r="W15" s="203" t="s">
        <v>272</v>
      </c>
      <c r="X15" s="203" t="s">
        <v>248</v>
      </c>
      <c r="Y15" s="205" t="s">
        <v>276</v>
      </c>
    </row>
    <row r="16" spans="1:25" ht="60" x14ac:dyDescent="0.25">
      <c r="A16" s="214">
        <v>15</v>
      </c>
      <c r="B16" s="200" t="s">
        <v>916</v>
      </c>
      <c r="C16" s="201" t="s">
        <v>15</v>
      </c>
      <c r="D16" s="200" t="s">
        <v>271</v>
      </c>
      <c r="E16" s="200" t="s">
        <v>241</v>
      </c>
      <c r="F16" s="200" t="s">
        <v>242</v>
      </c>
      <c r="G16" s="200" t="s">
        <v>243</v>
      </c>
      <c r="H16" s="200" t="s">
        <v>243</v>
      </c>
      <c r="I16" s="200" t="s">
        <v>243</v>
      </c>
      <c r="J16" s="200" t="s">
        <v>243</v>
      </c>
      <c r="K16" s="200" t="s">
        <v>243</v>
      </c>
      <c r="L16" s="200" t="s">
        <v>243</v>
      </c>
      <c r="M16" s="200" t="s">
        <v>243</v>
      </c>
      <c r="N16" s="200" t="s">
        <v>243</v>
      </c>
      <c r="O16" s="299">
        <v>20</v>
      </c>
      <c r="P16" s="299"/>
      <c r="Q16" s="299">
        <v>7</v>
      </c>
      <c r="R16" s="299"/>
      <c r="S16" s="299">
        <v>1</v>
      </c>
      <c r="T16" s="200" t="s">
        <v>273</v>
      </c>
      <c r="U16" s="200" t="s">
        <v>245</v>
      </c>
      <c r="V16" s="200" t="s">
        <v>246</v>
      </c>
      <c r="W16" s="200" t="s">
        <v>274</v>
      </c>
      <c r="X16" s="200" t="s">
        <v>248</v>
      </c>
      <c r="Y16" s="202" t="s">
        <v>275</v>
      </c>
    </row>
    <row r="17" spans="1:25" ht="30" x14ac:dyDescent="0.25">
      <c r="A17" s="215">
        <v>16</v>
      </c>
      <c r="B17" s="203" t="s">
        <v>917</v>
      </c>
      <c r="C17" s="204" t="s">
        <v>16</v>
      </c>
      <c r="D17" s="203" t="s">
        <v>271</v>
      </c>
      <c r="E17" s="203" t="s">
        <v>241</v>
      </c>
      <c r="F17" s="203" t="s">
        <v>242</v>
      </c>
      <c r="G17" s="203" t="s">
        <v>243</v>
      </c>
      <c r="H17" s="203" t="s">
        <v>243</v>
      </c>
      <c r="I17" s="203" t="s">
        <v>243</v>
      </c>
      <c r="J17" s="203" t="s">
        <v>243</v>
      </c>
      <c r="K17" s="203" t="s">
        <v>243</v>
      </c>
      <c r="L17" s="203" t="s">
        <v>243</v>
      </c>
      <c r="M17" s="203" t="s">
        <v>243</v>
      </c>
      <c r="N17" s="203" t="s">
        <v>243</v>
      </c>
      <c r="O17" s="300"/>
      <c r="P17" s="300"/>
      <c r="Q17" s="300">
        <v>7</v>
      </c>
      <c r="R17" s="300"/>
      <c r="S17" s="300">
        <v>1</v>
      </c>
      <c r="T17" s="203" t="s">
        <v>277</v>
      </c>
      <c r="U17" s="203" t="s">
        <v>278</v>
      </c>
      <c r="V17" s="203" t="s">
        <v>279</v>
      </c>
      <c r="W17" s="203" t="s">
        <v>280</v>
      </c>
      <c r="X17" s="203" t="s">
        <v>248</v>
      </c>
      <c r="Y17" s="205" t="s">
        <v>281</v>
      </c>
    </row>
    <row r="18" spans="1:25" ht="30" x14ac:dyDescent="0.25">
      <c r="A18" s="214">
        <v>17</v>
      </c>
      <c r="B18" s="200" t="s">
        <v>918</v>
      </c>
      <c r="C18" s="201" t="s">
        <v>17</v>
      </c>
      <c r="D18" s="200" t="s">
        <v>271</v>
      </c>
      <c r="E18" s="200" t="s">
        <v>241</v>
      </c>
      <c r="F18" s="200" t="s">
        <v>242</v>
      </c>
      <c r="G18" s="200" t="s">
        <v>243</v>
      </c>
      <c r="H18" s="200" t="s">
        <v>243</v>
      </c>
      <c r="I18" s="200" t="s">
        <v>243</v>
      </c>
      <c r="J18" s="200" t="s">
        <v>243</v>
      </c>
      <c r="K18" s="200" t="s">
        <v>243</v>
      </c>
      <c r="L18" s="200" t="s">
        <v>243</v>
      </c>
      <c r="M18" s="200" t="s">
        <v>243</v>
      </c>
      <c r="N18" s="200" t="s">
        <v>243</v>
      </c>
      <c r="O18" s="299"/>
      <c r="P18" s="299"/>
      <c r="Q18" s="299">
        <v>7</v>
      </c>
      <c r="R18" s="299"/>
      <c r="S18" s="299">
        <v>1</v>
      </c>
      <c r="T18" s="200" t="s">
        <v>277</v>
      </c>
      <c r="U18" s="200" t="s">
        <v>278</v>
      </c>
      <c r="V18" s="200" t="s">
        <v>279</v>
      </c>
      <c r="W18" s="200" t="s">
        <v>280</v>
      </c>
      <c r="X18" s="200" t="s">
        <v>248</v>
      </c>
      <c r="Y18" s="202" t="s">
        <v>281</v>
      </c>
    </row>
    <row r="19" spans="1:25" ht="30" x14ac:dyDescent="0.25">
      <c r="A19" s="215">
        <v>18</v>
      </c>
      <c r="B19" s="203" t="s">
        <v>919</v>
      </c>
      <c r="C19" s="204" t="s">
        <v>18</v>
      </c>
      <c r="D19" s="203" t="s">
        <v>271</v>
      </c>
      <c r="E19" s="203" t="s">
        <v>241</v>
      </c>
      <c r="F19" s="203" t="s">
        <v>242</v>
      </c>
      <c r="G19" s="203" t="s">
        <v>243</v>
      </c>
      <c r="H19" s="203" t="s">
        <v>243</v>
      </c>
      <c r="I19" s="203" t="s">
        <v>243</v>
      </c>
      <c r="J19" s="203" t="s">
        <v>243</v>
      </c>
      <c r="K19" s="203" t="s">
        <v>243</v>
      </c>
      <c r="L19" s="203" t="s">
        <v>243</v>
      </c>
      <c r="M19" s="203" t="s">
        <v>243</v>
      </c>
      <c r="N19" s="203" t="s">
        <v>243</v>
      </c>
      <c r="O19" s="300"/>
      <c r="P19" s="300"/>
      <c r="Q19" s="300">
        <v>7</v>
      </c>
      <c r="R19" s="300"/>
      <c r="S19" s="300">
        <v>1</v>
      </c>
      <c r="T19" s="203" t="s">
        <v>277</v>
      </c>
      <c r="U19" s="203" t="s">
        <v>278</v>
      </c>
      <c r="V19" s="203" t="s">
        <v>279</v>
      </c>
      <c r="W19" s="203" t="s">
        <v>282</v>
      </c>
      <c r="X19" s="203" t="s">
        <v>248</v>
      </c>
      <c r="Y19" s="205" t="s">
        <v>281</v>
      </c>
    </row>
    <row r="20" spans="1:25" ht="75" x14ac:dyDescent="0.25">
      <c r="A20" s="214">
        <v>19</v>
      </c>
      <c r="B20" s="200" t="s">
        <v>920</v>
      </c>
      <c r="C20" s="201" t="s">
        <v>19</v>
      </c>
      <c r="D20" s="200" t="s">
        <v>270</v>
      </c>
      <c r="E20" s="200" t="s">
        <v>283</v>
      </c>
      <c r="F20" s="200" t="s">
        <v>222</v>
      </c>
      <c r="G20" s="200" t="s">
        <v>243</v>
      </c>
      <c r="H20" s="200" t="s">
        <v>243</v>
      </c>
      <c r="I20" s="200" t="s">
        <v>243</v>
      </c>
      <c r="J20" s="200" t="s">
        <v>243</v>
      </c>
      <c r="K20" s="200" t="s">
        <v>243</v>
      </c>
      <c r="L20" s="200" t="s">
        <v>243</v>
      </c>
      <c r="M20" s="200" t="s">
        <v>243</v>
      </c>
      <c r="N20" s="200" t="s">
        <v>243</v>
      </c>
      <c r="O20" s="299">
        <v>8</v>
      </c>
      <c r="P20" s="299">
        <v>8</v>
      </c>
      <c r="Q20" s="299">
        <v>22</v>
      </c>
      <c r="R20" s="299">
        <v>8</v>
      </c>
      <c r="S20" s="299">
        <v>1</v>
      </c>
      <c r="T20" s="200" t="s">
        <v>284</v>
      </c>
      <c r="U20" s="200" t="s">
        <v>285</v>
      </c>
      <c r="V20" s="200" t="s">
        <v>286</v>
      </c>
      <c r="W20" s="200" t="s">
        <v>280</v>
      </c>
      <c r="X20" s="200" t="s">
        <v>248</v>
      </c>
      <c r="Y20" s="202" t="s">
        <v>287</v>
      </c>
    </row>
    <row r="21" spans="1:25" s="4" customFormat="1" ht="45" x14ac:dyDescent="0.25">
      <c r="A21" s="215">
        <v>20</v>
      </c>
      <c r="B21" s="203" t="s">
        <v>921</v>
      </c>
      <c r="C21" s="204" t="s">
        <v>20</v>
      </c>
      <c r="D21" s="203" t="s">
        <v>288</v>
      </c>
      <c r="E21" s="203" t="s">
        <v>241</v>
      </c>
      <c r="F21" s="203" t="s">
        <v>242</v>
      </c>
      <c r="G21" s="203" t="s">
        <v>289</v>
      </c>
      <c r="H21" s="203" t="s">
        <v>243</v>
      </c>
      <c r="I21" s="203" t="s">
        <v>243</v>
      </c>
      <c r="J21" s="203" t="s">
        <v>243</v>
      </c>
      <c r="K21" s="203" t="s">
        <v>243</v>
      </c>
      <c r="L21" s="203" t="s">
        <v>243</v>
      </c>
      <c r="M21" s="203" t="s">
        <v>290</v>
      </c>
      <c r="N21" s="203" t="s">
        <v>243</v>
      </c>
      <c r="O21" s="300">
        <v>14</v>
      </c>
      <c r="P21" s="300">
        <v>16</v>
      </c>
      <c r="Q21" s="300">
        <v>24</v>
      </c>
      <c r="R21" s="300">
        <v>25</v>
      </c>
      <c r="S21" s="300">
        <v>1</v>
      </c>
      <c r="T21" s="203" t="s">
        <v>291</v>
      </c>
      <c r="U21" s="203" t="s">
        <v>292</v>
      </c>
      <c r="V21" s="203" t="s">
        <v>293</v>
      </c>
      <c r="W21" s="203" t="s">
        <v>294</v>
      </c>
      <c r="X21" s="203" t="s">
        <v>248</v>
      </c>
      <c r="Y21" s="205" t="s">
        <v>295</v>
      </c>
    </row>
    <row r="22" spans="1:25" x14ac:dyDescent="0.25">
      <c r="A22" s="214">
        <v>21</v>
      </c>
      <c r="B22" s="200" t="s">
        <v>922</v>
      </c>
      <c r="C22" s="201" t="s">
        <v>21</v>
      </c>
      <c r="D22" s="200" t="s">
        <v>250</v>
      </c>
      <c r="E22" s="200" t="s">
        <v>251</v>
      </c>
      <c r="F22" s="200" t="s">
        <v>242</v>
      </c>
      <c r="G22" s="200" t="s">
        <v>243</v>
      </c>
      <c r="H22" s="200" t="s">
        <v>243</v>
      </c>
      <c r="I22" s="200" t="s">
        <v>243</v>
      </c>
      <c r="J22" s="200" t="s">
        <v>243</v>
      </c>
      <c r="K22" s="200" t="s">
        <v>243</v>
      </c>
      <c r="L22" s="200" t="s">
        <v>243</v>
      </c>
      <c r="M22" s="200" t="s">
        <v>243</v>
      </c>
      <c r="N22" s="200" t="s">
        <v>243</v>
      </c>
      <c r="O22" s="299">
        <v>7</v>
      </c>
      <c r="P22" s="299" t="s">
        <v>255</v>
      </c>
      <c r="Q22" s="299">
        <v>12</v>
      </c>
      <c r="R22" s="299" t="s">
        <v>255</v>
      </c>
      <c r="S22" s="299"/>
      <c r="T22" s="200" t="s">
        <v>244</v>
      </c>
      <c r="U22" s="200" t="s">
        <v>245</v>
      </c>
      <c r="V22" s="200" t="s">
        <v>246</v>
      </c>
      <c r="W22" s="200" t="s">
        <v>247</v>
      </c>
      <c r="X22" s="200" t="s">
        <v>248</v>
      </c>
      <c r="Y22" s="202" t="s">
        <v>249</v>
      </c>
    </row>
    <row r="23" spans="1:25" x14ac:dyDescent="0.25">
      <c r="A23" s="215">
        <v>22</v>
      </c>
      <c r="B23" s="203" t="s">
        <v>923</v>
      </c>
      <c r="C23" s="204" t="s">
        <v>22</v>
      </c>
      <c r="D23" s="203" t="s">
        <v>250</v>
      </c>
      <c r="E23" s="203" t="s">
        <v>251</v>
      </c>
      <c r="F23" s="203" t="s">
        <v>242</v>
      </c>
      <c r="G23" s="203" t="s">
        <v>243</v>
      </c>
      <c r="H23" s="203" t="s">
        <v>243</v>
      </c>
      <c r="I23" s="203" t="s">
        <v>243</v>
      </c>
      <c r="J23" s="203" t="s">
        <v>243</v>
      </c>
      <c r="K23" s="203" t="s">
        <v>243</v>
      </c>
      <c r="L23" s="203" t="s">
        <v>243</v>
      </c>
      <c r="M23" s="203" t="s">
        <v>243</v>
      </c>
      <c r="N23" s="203" t="s">
        <v>243</v>
      </c>
      <c r="O23" s="300">
        <v>20</v>
      </c>
      <c r="P23" s="300">
        <v>7</v>
      </c>
      <c r="Q23" s="300">
        <v>7</v>
      </c>
      <c r="R23" s="300">
        <v>7</v>
      </c>
      <c r="S23" s="300"/>
      <c r="T23" s="203" t="s">
        <v>244</v>
      </c>
      <c r="U23" s="203" t="s">
        <v>245</v>
      </c>
      <c r="V23" s="203" t="s">
        <v>246</v>
      </c>
      <c r="W23" s="203" t="s">
        <v>256</v>
      </c>
      <c r="X23" s="203" t="s">
        <v>248</v>
      </c>
      <c r="Y23" s="205" t="s">
        <v>249</v>
      </c>
    </row>
    <row r="24" spans="1:25" x14ac:dyDescent="0.25">
      <c r="A24" s="214">
        <v>23</v>
      </c>
      <c r="B24" s="200" t="s">
        <v>924</v>
      </c>
      <c r="C24" s="201" t="s">
        <v>23</v>
      </c>
      <c r="D24" s="200" t="s">
        <v>250</v>
      </c>
      <c r="E24" s="200" t="s">
        <v>251</v>
      </c>
      <c r="F24" s="200" t="s">
        <v>242</v>
      </c>
      <c r="G24" s="200" t="s">
        <v>243</v>
      </c>
      <c r="H24" s="200" t="s">
        <v>243</v>
      </c>
      <c r="I24" s="200" t="s">
        <v>243</v>
      </c>
      <c r="J24" s="200" t="s">
        <v>243</v>
      </c>
      <c r="K24" s="200" t="s">
        <v>243</v>
      </c>
      <c r="L24" s="200" t="s">
        <v>243</v>
      </c>
      <c r="M24" s="200" t="s">
        <v>243</v>
      </c>
      <c r="N24" s="200" t="s">
        <v>243</v>
      </c>
      <c r="O24" s="299">
        <v>15</v>
      </c>
      <c r="P24" s="299">
        <v>7</v>
      </c>
      <c r="Q24" s="299">
        <v>7</v>
      </c>
      <c r="R24" s="299">
        <v>7</v>
      </c>
      <c r="S24" s="299"/>
      <c r="T24" s="200" t="s">
        <v>244</v>
      </c>
      <c r="U24" s="200" t="s">
        <v>245</v>
      </c>
      <c r="V24" s="200" t="s">
        <v>246</v>
      </c>
      <c r="W24" s="200" t="s">
        <v>247</v>
      </c>
      <c r="X24" s="200" t="s">
        <v>248</v>
      </c>
      <c r="Y24" s="202" t="s">
        <v>249</v>
      </c>
    </row>
    <row r="25" spans="1:25" s="4" customFormat="1" ht="30" x14ac:dyDescent="0.25">
      <c r="A25" s="215">
        <v>24</v>
      </c>
      <c r="B25" s="203" t="s">
        <v>925</v>
      </c>
      <c r="C25" s="204" t="s">
        <v>24</v>
      </c>
      <c r="D25" s="203" t="s">
        <v>296</v>
      </c>
      <c r="E25" s="203" t="s">
        <v>241</v>
      </c>
      <c r="F25" s="203" t="s">
        <v>222</v>
      </c>
      <c r="G25" s="203" t="s">
        <v>243</v>
      </c>
      <c r="H25" s="203" t="s">
        <v>243</v>
      </c>
      <c r="I25" s="203" t="s">
        <v>243</v>
      </c>
      <c r="J25" s="203" t="s">
        <v>243</v>
      </c>
      <c r="K25" s="203" t="s">
        <v>243</v>
      </c>
      <c r="L25" s="203" t="s">
        <v>243</v>
      </c>
      <c r="M25" s="203" t="s">
        <v>243</v>
      </c>
      <c r="N25" s="203" t="s">
        <v>243</v>
      </c>
      <c r="O25" s="300"/>
      <c r="P25" s="300"/>
      <c r="Q25" s="300"/>
      <c r="R25" s="300"/>
      <c r="S25" s="300">
        <v>1</v>
      </c>
      <c r="T25" s="203" t="s">
        <v>291</v>
      </c>
      <c r="U25" s="203" t="s">
        <v>297</v>
      </c>
      <c r="V25" s="203" t="s">
        <v>293</v>
      </c>
      <c r="W25" s="203" t="s">
        <v>1125</v>
      </c>
      <c r="X25" s="203" t="s">
        <v>248</v>
      </c>
      <c r="Y25" s="205" t="s">
        <v>1124</v>
      </c>
    </row>
    <row r="26" spans="1:25" ht="30" x14ac:dyDescent="0.25">
      <c r="A26" s="214">
        <v>25</v>
      </c>
      <c r="B26" s="200" t="s">
        <v>926</v>
      </c>
      <c r="C26" s="201" t="s">
        <v>25</v>
      </c>
      <c r="D26" s="200" t="s">
        <v>250</v>
      </c>
      <c r="E26" s="200" t="s">
        <v>251</v>
      </c>
      <c r="F26" s="200" t="s">
        <v>242</v>
      </c>
      <c r="G26" s="200" t="s">
        <v>243</v>
      </c>
      <c r="H26" s="200" t="s">
        <v>243</v>
      </c>
      <c r="I26" s="200" t="s">
        <v>243</v>
      </c>
      <c r="J26" s="200" t="s">
        <v>243</v>
      </c>
      <c r="K26" s="200" t="s">
        <v>243</v>
      </c>
      <c r="L26" s="200" t="s">
        <v>243</v>
      </c>
      <c r="M26" s="200" t="s">
        <v>243</v>
      </c>
      <c r="N26" s="200" t="s">
        <v>243</v>
      </c>
      <c r="O26" s="299">
        <v>15</v>
      </c>
      <c r="P26" s="299">
        <v>7</v>
      </c>
      <c r="Q26" s="299">
        <v>7</v>
      </c>
      <c r="R26" s="299">
        <v>7</v>
      </c>
      <c r="S26" s="299"/>
      <c r="T26" s="200" t="s">
        <v>244</v>
      </c>
      <c r="U26" s="200" t="s">
        <v>245</v>
      </c>
      <c r="V26" s="200" t="s">
        <v>246</v>
      </c>
      <c r="W26" s="200" t="s">
        <v>247</v>
      </c>
      <c r="X26" s="200" t="s">
        <v>248</v>
      </c>
      <c r="Y26" s="202" t="s">
        <v>249</v>
      </c>
    </row>
    <row r="27" spans="1:25" ht="30" x14ac:dyDescent="0.25">
      <c r="A27" s="215">
        <v>26</v>
      </c>
      <c r="B27" s="203" t="s">
        <v>927</v>
      </c>
      <c r="C27" s="204" t="s">
        <v>26</v>
      </c>
      <c r="D27" s="203" t="s">
        <v>250</v>
      </c>
      <c r="E27" s="203" t="s">
        <v>251</v>
      </c>
      <c r="F27" s="203" t="s">
        <v>242</v>
      </c>
      <c r="G27" s="203" t="s">
        <v>243</v>
      </c>
      <c r="H27" s="203" t="s">
        <v>243</v>
      </c>
      <c r="I27" s="203" t="s">
        <v>243</v>
      </c>
      <c r="J27" s="203" t="s">
        <v>243</v>
      </c>
      <c r="K27" s="203" t="s">
        <v>243</v>
      </c>
      <c r="L27" s="203" t="s">
        <v>243</v>
      </c>
      <c r="M27" s="203" t="s">
        <v>243</v>
      </c>
      <c r="N27" s="203" t="s">
        <v>243</v>
      </c>
      <c r="O27" s="300">
        <v>15</v>
      </c>
      <c r="P27" s="300">
        <v>7</v>
      </c>
      <c r="Q27" s="300">
        <v>7</v>
      </c>
      <c r="R27" s="300">
        <v>7</v>
      </c>
      <c r="S27" s="300"/>
      <c r="T27" s="203" t="s">
        <v>244</v>
      </c>
      <c r="U27" s="203" t="s">
        <v>245</v>
      </c>
      <c r="V27" s="203" t="s">
        <v>246</v>
      </c>
      <c r="W27" s="203" t="s">
        <v>247</v>
      </c>
      <c r="X27" s="203" t="s">
        <v>248</v>
      </c>
      <c r="Y27" s="205" t="s">
        <v>249</v>
      </c>
    </row>
    <row r="28" spans="1:25" x14ac:dyDescent="0.25">
      <c r="A28" s="214">
        <v>27</v>
      </c>
      <c r="B28" s="200" t="s">
        <v>928</v>
      </c>
      <c r="C28" s="201" t="s">
        <v>27</v>
      </c>
      <c r="D28" s="200" t="s">
        <v>250</v>
      </c>
      <c r="E28" s="200" t="s">
        <v>251</v>
      </c>
      <c r="F28" s="200" t="s">
        <v>242</v>
      </c>
      <c r="G28" s="200" t="s">
        <v>243</v>
      </c>
      <c r="H28" s="200" t="s">
        <v>243</v>
      </c>
      <c r="I28" s="200" t="s">
        <v>243</v>
      </c>
      <c r="J28" s="200" t="s">
        <v>243</v>
      </c>
      <c r="K28" s="200" t="s">
        <v>243</v>
      </c>
      <c r="L28" s="200" t="s">
        <v>243</v>
      </c>
      <c r="M28" s="200" t="s">
        <v>243</v>
      </c>
      <c r="N28" s="200" t="s">
        <v>243</v>
      </c>
      <c r="O28" s="299">
        <v>7</v>
      </c>
      <c r="P28" s="299">
        <v>7</v>
      </c>
      <c r="Q28" s="299">
        <v>7</v>
      </c>
      <c r="R28" s="299">
        <v>7</v>
      </c>
      <c r="S28" s="299"/>
      <c r="T28" s="200" t="s">
        <v>244</v>
      </c>
      <c r="U28" s="200" t="s">
        <v>245</v>
      </c>
      <c r="V28" s="200" t="s">
        <v>246</v>
      </c>
      <c r="W28" s="200" t="s">
        <v>257</v>
      </c>
      <c r="X28" s="200" t="s">
        <v>248</v>
      </c>
      <c r="Y28" s="202" t="s">
        <v>249</v>
      </c>
    </row>
    <row r="29" spans="1:25" ht="30" x14ac:dyDescent="0.25">
      <c r="A29" s="215">
        <v>28</v>
      </c>
      <c r="B29" s="203" t="s">
        <v>929</v>
      </c>
      <c r="C29" s="204" t="s">
        <v>28</v>
      </c>
      <c r="D29" s="203" t="s">
        <v>250</v>
      </c>
      <c r="E29" s="203" t="s">
        <v>251</v>
      </c>
      <c r="F29" s="203" t="s">
        <v>242</v>
      </c>
      <c r="G29" s="203" t="s">
        <v>243</v>
      </c>
      <c r="H29" s="203" t="s">
        <v>243</v>
      </c>
      <c r="I29" s="203" t="s">
        <v>243</v>
      </c>
      <c r="J29" s="203" t="s">
        <v>243</v>
      </c>
      <c r="K29" s="203" t="s">
        <v>243</v>
      </c>
      <c r="L29" s="203" t="s">
        <v>243</v>
      </c>
      <c r="M29" s="203" t="s">
        <v>243</v>
      </c>
      <c r="N29" s="203" t="s">
        <v>243</v>
      </c>
      <c r="O29" s="300">
        <v>25</v>
      </c>
      <c r="P29" s="300">
        <v>7</v>
      </c>
      <c r="Q29" s="300">
        <v>7</v>
      </c>
      <c r="R29" s="300">
        <v>7</v>
      </c>
      <c r="S29" s="300"/>
      <c r="T29" s="203" t="s">
        <v>244</v>
      </c>
      <c r="U29" s="203" t="s">
        <v>245</v>
      </c>
      <c r="V29" s="203" t="s">
        <v>246</v>
      </c>
      <c r="W29" s="203" t="s">
        <v>247</v>
      </c>
      <c r="X29" s="203" t="s">
        <v>248</v>
      </c>
      <c r="Y29" s="205" t="s">
        <v>249</v>
      </c>
    </row>
    <row r="30" spans="1:25" s="4" customFormat="1" ht="60" x14ac:dyDescent="0.25">
      <c r="A30" s="214">
        <v>29</v>
      </c>
      <c r="B30" s="200" t="s">
        <v>930</v>
      </c>
      <c r="C30" s="201" t="s">
        <v>29</v>
      </c>
      <c r="D30" s="200" t="s">
        <v>288</v>
      </c>
      <c r="E30" s="200" t="s">
        <v>241</v>
      </c>
      <c r="F30" s="200" t="s">
        <v>242</v>
      </c>
      <c r="G30" s="200" t="s">
        <v>289</v>
      </c>
      <c r="H30" s="200" t="s">
        <v>243</v>
      </c>
      <c r="I30" s="200" t="s">
        <v>243</v>
      </c>
      <c r="J30" s="200" t="s">
        <v>243</v>
      </c>
      <c r="K30" s="200" t="s">
        <v>243</v>
      </c>
      <c r="L30" s="200" t="s">
        <v>243</v>
      </c>
      <c r="M30" s="200" t="s">
        <v>290</v>
      </c>
      <c r="N30" s="200" t="s">
        <v>243</v>
      </c>
      <c r="O30" s="299">
        <v>56</v>
      </c>
      <c r="P30" s="299">
        <v>16</v>
      </c>
      <c r="Q30" s="299">
        <v>25</v>
      </c>
      <c r="R30" s="299">
        <v>26</v>
      </c>
      <c r="S30" s="299">
        <v>1</v>
      </c>
      <c r="T30" s="200" t="s">
        <v>291</v>
      </c>
      <c r="U30" s="200" t="s">
        <v>298</v>
      </c>
      <c r="V30" s="200" t="s">
        <v>293</v>
      </c>
      <c r="W30" s="200" t="s">
        <v>294</v>
      </c>
      <c r="X30" s="200" t="s">
        <v>299</v>
      </c>
      <c r="Y30" s="202" t="s">
        <v>300</v>
      </c>
    </row>
    <row r="31" spans="1:25" s="4" customFormat="1" ht="30" x14ac:dyDescent="0.25">
      <c r="A31" s="215">
        <v>30</v>
      </c>
      <c r="B31" s="203" t="s">
        <v>931</v>
      </c>
      <c r="C31" s="204" t="s">
        <v>30</v>
      </c>
      <c r="D31" s="203" t="s">
        <v>301</v>
      </c>
      <c r="E31" s="203" t="s">
        <v>241</v>
      </c>
      <c r="F31" s="203" t="s">
        <v>242</v>
      </c>
      <c r="G31" s="203" t="s">
        <v>243</v>
      </c>
      <c r="H31" s="203" t="s">
        <v>243</v>
      </c>
      <c r="I31" s="203" t="s">
        <v>243</v>
      </c>
      <c r="J31" s="203" t="s">
        <v>243</v>
      </c>
      <c r="K31" s="203" t="s">
        <v>243</v>
      </c>
      <c r="L31" s="203" t="s">
        <v>243</v>
      </c>
      <c r="M31" s="203" t="s">
        <v>243</v>
      </c>
      <c r="N31" s="203" t="s">
        <v>243</v>
      </c>
      <c r="O31" s="300">
        <v>3</v>
      </c>
      <c r="P31" s="300">
        <v>3</v>
      </c>
      <c r="Q31" s="300">
        <v>6</v>
      </c>
      <c r="R31" s="300">
        <v>10</v>
      </c>
      <c r="S31" s="300">
        <v>5</v>
      </c>
      <c r="T31" s="203" t="s">
        <v>267</v>
      </c>
      <c r="U31" s="203" t="s">
        <v>245</v>
      </c>
      <c r="V31" s="203" t="s">
        <v>268</v>
      </c>
      <c r="W31" s="203" t="s">
        <v>302</v>
      </c>
      <c r="X31" s="203" t="s">
        <v>248</v>
      </c>
      <c r="Y31" s="205" t="s">
        <v>303</v>
      </c>
    </row>
    <row r="32" spans="1:25" s="4" customFormat="1" ht="60" x14ac:dyDescent="0.25">
      <c r="A32" s="214">
        <v>31</v>
      </c>
      <c r="B32" s="200" t="s">
        <v>932</v>
      </c>
      <c r="C32" s="201" t="s">
        <v>31</v>
      </c>
      <c r="D32" s="200" t="s">
        <v>304</v>
      </c>
      <c r="E32" s="200" t="s">
        <v>241</v>
      </c>
      <c r="F32" s="200" t="s">
        <v>242</v>
      </c>
      <c r="G32" s="200" t="s">
        <v>305</v>
      </c>
      <c r="H32" s="200" t="s">
        <v>243</v>
      </c>
      <c r="I32" s="200" t="s">
        <v>243</v>
      </c>
      <c r="J32" s="200" t="s">
        <v>243</v>
      </c>
      <c r="K32" s="200" t="s">
        <v>243</v>
      </c>
      <c r="L32" s="200" t="s">
        <v>243</v>
      </c>
      <c r="M32" s="200" t="s">
        <v>290</v>
      </c>
      <c r="N32" s="200" t="s">
        <v>290</v>
      </c>
      <c r="O32" s="299">
        <v>17</v>
      </c>
      <c r="P32" s="299">
        <v>7</v>
      </c>
      <c r="Q32" s="299">
        <v>7</v>
      </c>
      <c r="R32" s="299">
        <v>18</v>
      </c>
      <c r="S32" s="299">
        <v>1</v>
      </c>
      <c r="T32" s="200" t="s">
        <v>306</v>
      </c>
      <c r="U32" s="200" t="s">
        <v>307</v>
      </c>
      <c r="V32" s="200" t="s">
        <v>293</v>
      </c>
      <c r="W32" s="200" t="s">
        <v>308</v>
      </c>
      <c r="X32" s="200" t="s">
        <v>299</v>
      </c>
      <c r="Y32" s="202" t="s">
        <v>309</v>
      </c>
    </row>
    <row r="33" spans="1:25" ht="30" x14ac:dyDescent="0.25">
      <c r="A33" s="215">
        <v>32</v>
      </c>
      <c r="B33" s="203" t="s">
        <v>933</v>
      </c>
      <c r="C33" s="204" t="s">
        <v>32</v>
      </c>
      <c r="D33" s="203" t="s">
        <v>250</v>
      </c>
      <c r="E33" s="203" t="s">
        <v>251</v>
      </c>
      <c r="F33" s="203" t="s">
        <v>242</v>
      </c>
      <c r="G33" s="203" t="s">
        <v>243</v>
      </c>
      <c r="H33" s="203" t="s">
        <v>243</v>
      </c>
      <c r="I33" s="203" t="s">
        <v>243</v>
      </c>
      <c r="J33" s="203" t="s">
        <v>243</v>
      </c>
      <c r="K33" s="203" t="s">
        <v>243</v>
      </c>
      <c r="L33" s="203" t="s">
        <v>243</v>
      </c>
      <c r="M33" s="203" t="s">
        <v>243</v>
      </c>
      <c r="N33" s="203" t="s">
        <v>243</v>
      </c>
      <c r="O33" s="300">
        <v>5</v>
      </c>
      <c r="P33" s="300">
        <v>5</v>
      </c>
      <c r="Q33" s="300">
        <v>16</v>
      </c>
      <c r="R33" s="300">
        <v>5</v>
      </c>
      <c r="S33" s="300"/>
      <c r="T33" s="203" t="s">
        <v>244</v>
      </c>
      <c r="U33" s="203" t="s">
        <v>245</v>
      </c>
      <c r="V33" s="203" t="s">
        <v>246</v>
      </c>
      <c r="W33" s="203" t="s">
        <v>247</v>
      </c>
      <c r="X33" s="203" t="s">
        <v>248</v>
      </c>
      <c r="Y33" s="205" t="s">
        <v>249</v>
      </c>
    </row>
    <row r="34" spans="1:25" s="4" customFormat="1" x14ac:dyDescent="0.25">
      <c r="A34" s="214">
        <v>33</v>
      </c>
      <c r="B34" s="200" t="s">
        <v>934</v>
      </c>
      <c r="C34" s="201" t="s">
        <v>33</v>
      </c>
      <c r="D34" s="200" t="s">
        <v>291</v>
      </c>
      <c r="E34" s="200" t="s">
        <v>241</v>
      </c>
      <c r="F34" s="200" t="s">
        <v>242</v>
      </c>
      <c r="G34" s="200" t="s">
        <v>243</v>
      </c>
      <c r="H34" s="200" t="s">
        <v>243</v>
      </c>
      <c r="I34" s="200" t="s">
        <v>243</v>
      </c>
      <c r="J34" s="200" t="s">
        <v>243</v>
      </c>
      <c r="K34" s="200" t="s">
        <v>243</v>
      </c>
      <c r="L34" s="200" t="s">
        <v>243</v>
      </c>
      <c r="M34" s="200" t="s">
        <v>243</v>
      </c>
      <c r="N34" s="200" t="s">
        <v>243</v>
      </c>
      <c r="O34" s="299">
        <v>6</v>
      </c>
      <c r="P34" s="299">
        <v>6</v>
      </c>
      <c r="Q34" s="299">
        <v>6</v>
      </c>
      <c r="R34" s="299">
        <v>6</v>
      </c>
      <c r="S34" s="299">
        <v>1</v>
      </c>
      <c r="T34" s="200" t="s">
        <v>291</v>
      </c>
      <c r="U34" s="200" t="s">
        <v>245</v>
      </c>
      <c r="V34" s="200" t="s">
        <v>293</v>
      </c>
      <c r="W34" s="200" t="s">
        <v>310</v>
      </c>
      <c r="X34" s="200" t="s">
        <v>248</v>
      </c>
      <c r="Y34" s="202" t="s">
        <v>249</v>
      </c>
    </row>
    <row r="35" spans="1:25" s="4" customFormat="1" ht="45" x14ac:dyDescent="0.25">
      <c r="A35" s="215">
        <v>34</v>
      </c>
      <c r="B35" s="203" t="s">
        <v>935</v>
      </c>
      <c r="C35" s="204" t="s">
        <v>34</v>
      </c>
      <c r="D35" s="203" t="s">
        <v>291</v>
      </c>
      <c r="E35" s="203" t="s">
        <v>241</v>
      </c>
      <c r="F35" s="203" t="s">
        <v>222</v>
      </c>
      <c r="G35" s="203" t="s">
        <v>311</v>
      </c>
      <c r="H35" s="203" t="s">
        <v>243</v>
      </c>
      <c r="I35" s="203" t="s">
        <v>243</v>
      </c>
      <c r="J35" s="203" t="s">
        <v>243</v>
      </c>
      <c r="K35" s="203" t="s">
        <v>243</v>
      </c>
      <c r="L35" s="203" t="s">
        <v>243</v>
      </c>
      <c r="M35" s="203" t="s">
        <v>243</v>
      </c>
      <c r="N35" s="203" t="s">
        <v>243</v>
      </c>
      <c r="O35" s="300">
        <v>5</v>
      </c>
      <c r="P35" s="300">
        <v>5</v>
      </c>
      <c r="Q35" s="300">
        <v>15</v>
      </c>
      <c r="R35" s="300">
        <v>5</v>
      </c>
      <c r="S35" s="300">
        <v>1</v>
      </c>
      <c r="T35" s="203" t="s">
        <v>291</v>
      </c>
      <c r="U35" s="203" t="s">
        <v>298</v>
      </c>
      <c r="V35" s="203" t="s">
        <v>293</v>
      </c>
      <c r="W35" s="203" t="s">
        <v>312</v>
      </c>
      <c r="X35" s="203" t="s">
        <v>313</v>
      </c>
      <c r="Y35" s="205" t="s">
        <v>314</v>
      </c>
    </row>
    <row r="36" spans="1:25" ht="30" x14ac:dyDescent="0.25">
      <c r="A36" s="214">
        <v>35</v>
      </c>
      <c r="B36" s="200" t="s">
        <v>936</v>
      </c>
      <c r="C36" s="201" t="s">
        <v>35</v>
      </c>
      <c r="D36" s="200" t="s">
        <v>250</v>
      </c>
      <c r="E36" s="200" t="s">
        <v>251</v>
      </c>
      <c r="F36" s="200" t="s">
        <v>242</v>
      </c>
      <c r="G36" s="200" t="s">
        <v>243</v>
      </c>
      <c r="H36" s="200" t="s">
        <v>243</v>
      </c>
      <c r="I36" s="200" t="s">
        <v>243</v>
      </c>
      <c r="J36" s="200" t="s">
        <v>243</v>
      </c>
      <c r="K36" s="200" t="s">
        <v>243</v>
      </c>
      <c r="L36" s="200" t="s">
        <v>243</v>
      </c>
      <c r="M36" s="200" t="s">
        <v>243</v>
      </c>
      <c r="N36" s="200" t="s">
        <v>243</v>
      </c>
      <c r="O36" s="299">
        <v>20</v>
      </c>
      <c r="P36" s="299">
        <v>7</v>
      </c>
      <c r="Q36" s="299">
        <v>7</v>
      </c>
      <c r="R36" s="299">
        <v>7</v>
      </c>
      <c r="S36" s="299"/>
      <c r="T36" s="200" t="s">
        <v>244</v>
      </c>
      <c r="U36" s="200" t="s">
        <v>245</v>
      </c>
      <c r="V36" s="200" t="s">
        <v>246</v>
      </c>
      <c r="W36" s="200" t="s">
        <v>258</v>
      </c>
      <c r="X36" s="200" t="s">
        <v>248</v>
      </c>
      <c r="Y36" s="202" t="s">
        <v>249</v>
      </c>
    </row>
    <row r="37" spans="1:25" ht="30" x14ac:dyDescent="0.25">
      <c r="A37" s="215">
        <v>36</v>
      </c>
      <c r="B37" s="203" t="s">
        <v>937</v>
      </c>
      <c r="C37" s="204" t="s">
        <v>36</v>
      </c>
      <c r="D37" s="203" t="s">
        <v>250</v>
      </c>
      <c r="E37" s="203" t="s">
        <v>251</v>
      </c>
      <c r="F37" s="203" t="s">
        <v>242</v>
      </c>
      <c r="G37" s="203" t="s">
        <v>243</v>
      </c>
      <c r="H37" s="203" t="s">
        <v>243</v>
      </c>
      <c r="I37" s="203" t="s">
        <v>243</v>
      </c>
      <c r="J37" s="203" t="s">
        <v>243</v>
      </c>
      <c r="K37" s="203" t="s">
        <v>243</v>
      </c>
      <c r="L37" s="203" t="s">
        <v>243</v>
      </c>
      <c r="M37" s="203" t="s">
        <v>243</v>
      </c>
      <c r="N37" s="203" t="s">
        <v>243</v>
      </c>
      <c r="O37" s="300">
        <v>15</v>
      </c>
      <c r="P37" s="300">
        <v>7</v>
      </c>
      <c r="Q37" s="300">
        <v>7</v>
      </c>
      <c r="R37" s="300">
        <v>7</v>
      </c>
      <c r="S37" s="300"/>
      <c r="T37" s="203" t="s">
        <v>244</v>
      </c>
      <c r="U37" s="203" t="s">
        <v>245</v>
      </c>
      <c r="V37" s="203" t="s">
        <v>246</v>
      </c>
      <c r="W37" s="203" t="s">
        <v>247</v>
      </c>
      <c r="X37" s="203" t="s">
        <v>248</v>
      </c>
      <c r="Y37" s="205" t="s">
        <v>249</v>
      </c>
    </row>
    <row r="38" spans="1:25" s="4" customFormat="1" ht="60" x14ac:dyDescent="0.25">
      <c r="A38" s="214">
        <v>37</v>
      </c>
      <c r="B38" s="200" t="s">
        <v>938</v>
      </c>
      <c r="C38" s="201" t="s">
        <v>37</v>
      </c>
      <c r="D38" s="200" t="s">
        <v>315</v>
      </c>
      <c r="E38" s="200" t="s">
        <v>241</v>
      </c>
      <c r="F38" s="200" t="s">
        <v>222</v>
      </c>
      <c r="G38" s="200" t="s">
        <v>243</v>
      </c>
      <c r="H38" s="200" t="s">
        <v>316</v>
      </c>
      <c r="I38" s="200" t="s">
        <v>243</v>
      </c>
      <c r="J38" s="200" t="s">
        <v>253</v>
      </c>
      <c r="K38" s="200" t="s">
        <v>243</v>
      </c>
      <c r="L38" s="200" t="s">
        <v>243</v>
      </c>
      <c r="M38" s="200" t="s">
        <v>243</v>
      </c>
      <c r="N38" s="200" t="s">
        <v>243</v>
      </c>
      <c r="O38" s="299">
        <v>15</v>
      </c>
      <c r="P38" s="299">
        <v>5</v>
      </c>
      <c r="Q38" s="299">
        <v>5</v>
      </c>
      <c r="R38" s="299">
        <v>5</v>
      </c>
      <c r="S38" s="299">
        <v>2</v>
      </c>
      <c r="T38" s="200" t="s">
        <v>267</v>
      </c>
      <c r="U38" s="200" t="s">
        <v>245</v>
      </c>
      <c r="V38" s="200" t="s">
        <v>268</v>
      </c>
      <c r="W38" s="200" t="s">
        <v>317</v>
      </c>
      <c r="X38" s="200" t="s">
        <v>313</v>
      </c>
      <c r="Y38" s="202" t="s">
        <v>318</v>
      </c>
    </row>
    <row r="39" spans="1:25" s="4" customFormat="1" ht="45" x14ac:dyDescent="0.25">
      <c r="A39" s="215">
        <v>38</v>
      </c>
      <c r="B39" s="203" t="s">
        <v>939</v>
      </c>
      <c r="C39" s="204" t="s">
        <v>38</v>
      </c>
      <c r="D39" s="203" t="s">
        <v>291</v>
      </c>
      <c r="E39" s="203" t="s">
        <v>241</v>
      </c>
      <c r="F39" s="203" t="s">
        <v>222</v>
      </c>
      <c r="G39" s="203" t="s">
        <v>290</v>
      </c>
      <c r="H39" s="203" t="s">
        <v>243</v>
      </c>
      <c r="I39" s="203" t="s">
        <v>243</v>
      </c>
      <c r="J39" s="203" t="s">
        <v>243</v>
      </c>
      <c r="K39" s="203" t="s">
        <v>243</v>
      </c>
      <c r="L39" s="203" t="s">
        <v>243</v>
      </c>
      <c r="M39" s="203" t="s">
        <v>243</v>
      </c>
      <c r="N39" s="203" t="s">
        <v>243</v>
      </c>
      <c r="O39" s="300">
        <v>5</v>
      </c>
      <c r="P39" s="300">
        <v>5</v>
      </c>
      <c r="Q39" s="300">
        <v>15</v>
      </c>
      <c r="R39" s="300">
        <v>5</v>
      </c>
      <c r="S39" s="300">
        <v>1</v>
      </c>
      <c r="T39" s="203" t="s">
        <v>291</v>
      </c>
      <c r="U39" s="203" t="s">
        <v>298</v>
      </c>
      <c r="V39" s="203" t="s">
        <v>293</v>
      </c>
      <c r="W39" s="203" t="s">
        <v>312</v>
      </c>
      <c r="X39" s="203" t="s">
        <v>313</v>
      </c>
      <c r="Y39" s="205" t="s">
        <v>319</v>
      </c>
    </row>
    <row r="40" spans="1:25" x14ac:dyDescent="0.25">
      <c r="A40" s="214">
        <v>39</v>
      </c>
      <c r="B40" s="200" t="s">
        <v>940</v>
      </c>
      <c r="C40" s="201" t="s">
        <v>39</v>
      </c>
      <c r="D40" s="200" t="s">
        <v>250</v>
      </c>
      <c r="E40" s="200" t="s">
        <v>251</v>
      </c>
      <c r="F40" s="200" t="s">
        <v>242</v>
      </c>
      <c r="G40" s="200" t="s">
        <v>243</v>
      </c>
      <c r="H40" s="200" t="s">
        <v>243</v>
      </c>
      <c r="I40" s="200" t="s">
        <v>243</v>
      </c>
      <c r="J40" s="200" t="s">
        <v>243</v>
      </c>
      <c r="K40" s="200" t="s">
        <v>243</v>
      </c>
      <c r="L40" s="200" t="s">
        <v>243</v>
      </c>
      <c r="M40" s="200" t="s">
        <v>243</v>
      </c>
      <c r="N40" s="200" t="s">
        <v>243</v>
      </c>
      <c r="O40" s="299">
        <v>15</v>
      </c>
      <c r="P40" s="299">
        <v>7</v>
      </c>
      <c r="Q40" s="299">
        <v>7</v>
      </c>
      <c r="R40" s="299">
        <v>7</v>
      </c>
      <c r="S40" s="299"/>
      <c r="T40" s="200" t="s">
        <v>244</v>
      </c>
      <c r="U40" s="200" t="s">
        <v>245</v>
      </c>
      <c r="V40" s="200" t="s">
        <v>246</v>
      </c>
      <c r="W40" s="200" t="s">
        <v>247</v>
      </c>
      <c r="X40" s="200" t="s">
        <v>248</v>
      </c>
      <c r="Y40" s="202" t="s">
        <v>249</v>
      </c>
    </row>
    <row r="41" spans="1:25" s="4" customFormat="1" ht="105" x14ac:dyDescent="0.25">
      <c r="A41" s="215">
        <v>40</v>
      </c>
      <c r="B41" s="203" t="s">
        <v>941</v>
      </c>
      <c r="C41" s="204" t="s">
        <v>40</v>
      </c>
      <c r="D41" s="203" t="s">
        <v>304</v>
      </c>
      <c r="E41" s="203" t="s">
        <v>320</v>
      </c>
      <c r="F41" s="203" t="s">
        <v>242</v>
      </c>
      <c r="G41" s="203" t="s">
        <v>243</v>
      </c>
      <c r="H41" s="203" t="s">
        <v>243</v>
      </c>
      <c r="I41" s="203" t="s">
        <v>243</v>
      </c>
      <c r="J41" s="203" t="s">
        <v>243</v>
      </c>
      <c r="K41" s="203" t="s">
        <v>243</v>
      </c>
      <c r="L41" s="203" t="s">
        <v>243</v>
      </c>
      <c r="M41" s="203" t="s">
        <v>243</v>
      </c>
      <c r="N41" s="203" t="s">
        <v>243</v>
      </c>
      <c r="O41" s="300"/>
      <c r="P41" s="300"/>
      <c r="Q41" s="300"/>
      <c r="R41" s="300"/>
      <c r="S41" s="300">
        <v>1</v>
      </c>
      <c r="T41" s="203" t="s">
        <v>321</v>
      </c>
      <c r="U41" s="203" t="s">
        <v>321</v>
      </c>
      <c r="V41" s="203" t="s">
        <v>321</v>
      </c>
      <c r="W41" s="203" t="s">
        <v>321</v>
      </c>
      <c r="X41" s="203" t="s">
        <v>313</v>
      </c>
      <c r="Y41" s="205" t="s">
        <v>322</v>
      </c>
    </row>
    <row r="42" spans="1:25" x14ac:dyDescent="0.25">
      <c r="A42" s="214">
        <v>41</v>
      </c>
      <c r="B42" s="200" t="s">
        <v>942</v>
      </c>
      <c r="C42" s="201" t="s">
        <v>41</v>
      </c>
      <c r="D42" s="200" t="s">
        <v>250</v>
      </c>
      <c r="E42" s="200" t="s">
        <v>251</v>
      </c>
      <c r="F42" s="200" t="s">
        <v>242</v>
      </c>
      <c r="G42" s="200" t="s">
        <v>243</v>
      </c>
      <c r="H42" s="200" t="s">
        <v>243</v>
      </c>
      <c r="I42" s="200" t="s">
        <v>243</v>
      </c>
      <c r="J42" s="200" t="s">
        <v>243</v>
      </c>
      <c r="K42" s="200" t="s">
        <v>243</v>
      </c>
      <c r="L42" s="200" t="s">
        <v>243</v>
      </c>
      <c r="M42" s="200" t="s">
        <v>243</v>
      </c>
      <c r="N42" s="200" t="s">
        <v>243</v>
      </c>
      <c r="O42" s="299">
        <v>15</v>
      </c>
      <c r="P42" s="299">
        <v>7</v>
      </c>
      <c r="Q42" s="299">
        <v>7</v>
      </c>
      <c r="R42" s="299">
        <v>7</v>
      </c>
      <c r="S42" s="299"/>
      <c r="T42" s="200" t="s">
        <v>244</v>
      </c>
      <c r="U42" s="200" t="s">
        <v>245</v>
      </c>
      <c r="V42" s="200" t="s">
        <v>246</v>
      </c>
      <c r="W42" s="200" t="s">
        <v>247</v>
      </c>
      <c r="X42" s="200" t="s">
        <v>248</v>
      </c>
      <c r="Y42" s="202" t="s">
        <v>249</v>
      </c>
    </row>
    <row r="43" spans="1:25" x14ac:dyDescent="0.25">
      <c r="A43" s="215">
        <v>42</v>
      </c>
      <c r="B43" s="203" t="s">
        <v>943</v>
      </c>
      <c r="C43" s="204" t="s">
        <v>42</v>
      </c>
      <c r="D43" s="203" t="s">
        <v>250</v>
      </c>
      <c r="E43" s="203" t="s">
        <v>251</v>
      </c>
      <c r="F43" s="203" t="s">
        <v>242</v>
      </c>
      <c r="G43" s="203" t="s">
        <v>243</v>
      </c>
      <c r="H43" s="203" t="s">
        <v>243</v>
      </c>
      <c r="I43" s="203" t="s">
        <v>243</v>
      </c>
      <c r="J43" s="203" t="s">
        <v>243</v>
      </c>
      <c r="K43" s="203" t="s">
        <v>243</v>
      </c>
      <c r="L43" s="203" t="s">
        <v>243</v>
      </c>
      <c r="M43" s="203" t="s">
        <v>243</v>
      </c>
      <c r="N43" s="203" t="s">
        <v>243</v>
      </c>
      <c r="O43" s="300">
        <v>15</v>
      </c>
      <c r="P43" s="300">
        <v>7</v>
      </c>
      <c r="Q43" s="300">
        <v>7</v>
      </c>
      <c r="R43" s="300">
        <v>7</v>
      </c>
      <c r="S43" s="300"/>
      <c r="T43" s="203" t="s">
        <v>244</v>
      </c>
      <c r="U43" s="203" t="s">
        <v>245</v>
      </c>
      <c r="V43" s="203" t="s">
        <v>246</v>
      </c>
      <c r="W43" s="203" t="s">
        <v>247</v>
      </c>
      <c r="X43" s="203" t="s">
        <v>248</v>
      </c>
      <c r="Y43" s="205" t="s">
        <v>249</v>
      </c>
    </row>
    <row r="44" spans="1:25" x14ac:dyDescent="0.25">
      <c r="A44" s="214">
        <v>43</v>
      </c>
      <c r="B44" s="200" t="s">
        <v>944</v>
      </c>
      <c r="C44" s="201" t="s">
        <v>43</v>
      </c>
      <c r="D44" s="200" t="s">
        <v>250</v>
      </c>
      <c r="E44" s="200" t="s">
        <v>251</v>
      </c>
      <c r="F44" s="200" t="s">
        <v>242</v>
      </c>
      <c r="G44" s="200" t="s">
        <v>243</v>
      </c>
      <c r="H44" s="200" t="s">
        <v>243</v>
      </c>
      <c r="I44" s="200" t="s">
        <v>243</v>
      </c>
      <c r="J44" s="200" t="s">
        <v>243</v>
      </c>
      <c r="K44" s="200" t="s">
        <v>243</v>
      </c>
      <c r="L44" s="200" t="s">
        <v>243</v>
      </c>
      <c r="M44" s="200" t="s">
        <v>243</v>
      </c>
      <c r="N44" s="200" t="s">
        <v>243</v>
      </c>
      <c r="O44" s="299">
        <v>15</v>
      </c>
      <c r="P44" s="299">
        <v>7</v>
      </c>
      <c r="Q44" s="299">
        <v>7</v>
      </c>
      <c r="R44" s="299">
        <v>7</v>
      </c>
      <c r="S44" s="299"/>
      <c r="T44" s="200" t="s">
        <v>244</v>
      </c>
      <c r="U44" s="200" t="s">
        <v>245</v>
      </c>
      <c r="V44" s="200" t="s">
        <v>246</v>
      </c>
      <c r="W44" s="200" t="s">
        <v>247</v>
      </c>
      <c r="X44" s="200" t="s">
        <v>248</v>
      </c>
      <c r="Y44" s="202" t="s">
        <v>249</v>
      </c>
    </row>
    <row r="45" spans="1:25" ht="30" x14ac:dyDescent="0.25">
      <c r="A45" s="215">
        <v>44</v>
      </c>
      <c r="B45" s="203" t="s">
        <v>945</v>
      </c>
      <c r="C45" s="204" t="s">
        <v>44</v>
      </c>
      <c r="D45" s="203" t="s">
        <v>250</v>
      </c>
      <c r="E45" s="203" t="s">
        <v>251</v>
      </c>
      <c r="F45" s="203" t="s">
        <v>242</v>
      </c>
      <c r="G45" s="203" t="s">
        <v>243</v>
      </c>
      <c r="H45" s="203" t="s">
        <v>243</v>
      </c>
      <c r="I45" s="203" t="s">
        <v>243</v>
      </c>
      <c r="J45" s="203" t="s">
        <v>243</v>
      </c>
      <c r="K45" s="203" t="s">
        <v>243</v>
      </c>
      <c r="L45" s="203" t="s">
        <v>243</v>
      </c>
      <c r="M45" s="203" t="s">
        <v>243</v>
      </c>
      <c r="N45" s="203" t="s">
        <v>243</v>
      </c>
      <c r="O45" s="300">
        <v>15</v>
      </c>
      <c r="P45" s="300">
        <v>7</v>
      </c>
      <c r="Q45" s="300">
        <v>7</v>
      </c>
      <c r="R45" s="300">
        <v>7</v>
      </c>
      <c r="S45" s="300"/>
      <c r="T45" s="203" t="s">
        <v>244</v>
      </c>
      <c r="U45" s="203" t="s">
        <v>245</v>
      </c>
      <c r="V45" s="203" t="s">
        <v>246</v>
      </c>
      <c r="W45" s="203" t="s">
        <v>247</v>
      </c>
      <c r="X45" s="203" t="s">
        <v>248</v>
      </c>
      <c r="Y45" s="205" t="s">
        <v>249</v>
      </c>
    </row>
    <row r="46" spans="1:25" s="4" customFormat="1" ht="90" x14ac:dyDescent="0.25">
      <c r="A46" s="214">
        <v>45</v>
      </c>
      <c r="B46" s="200" t="s">
        <v>946</v>
      </c>
      <c r="C46" s="201" t="s">
        <v>45</v>
      </c>
      <c r="D46" s="200" t="s">
        <v>323</v>
      </c>
      <c r="E46" s="200" t="s">
        <v>241</v>
      </c>
      <c r="F46" s="200" t="s">
        <v>222</v>
      </c>
      <c r="G46" s="200" t="s">
        <v>243</v>
      </c>
      <c r="H46" s="200" t="s">
        <v>243</v>
      </c>
      <c r="I46" s="200" t="s">
        <v>324</v>
      </c>
      <c r="J46" s="200" t="s">
        <v>253</v>
      </c>
      <c r="K46" s="200" t="s">
        <v>243</v>
      </c>
      <c r="L46" s="200" t="s">
        <v>243</v>
      </c>
      <c r="M46" s="200" t="s">
        <v>243</v>
      </c>
      <c r="N46" s="200" t="s">
        <v>243</v>
      </c>
      <c r="O46" s="299">
        <v>5</v>
      </c>
      <c r="P46" s="299">
        <v>5</v>
      </c>
      <c r="Q46" s="299">
        <v>10</v>
      </c>
      <c r="R46" s="299">
        <v>23</v>
      </c>
      <c r="S46" s="299">
        <v>1</v>
      </c>
      <c r="T46" s="200" t="s">
        <v>325</v>
      </c>
      <c r="U46" s="200" t="s">
        <v>245</v>
      </c>
      <c r="V46" s="200">
        <v>90</v>
      </c>
      <c r="W46" s="200" t="s">
        <v>247</v>
      </c>
      <c r="X46" s="200" t="s">
        <v>326</v>
      </c>
      <c r="Y46" s="202" t="s">
        <v>327</v>
      </c>
    </row>
    <row r="47" spans="1:25" s="4" customFormat="1" ht="45" x14ac:dyDescent="0.25">
      <c r="A47" s="215">
        <v>46</v>
      </c>
      <c r="B47" s="203" t="s">
        <v>947</v>
      </c>
      <c r="C47" s="204" t="s">
        <v>46</v>
      </c>
      <c r="D47" s="203" t="s">
        <v>328</v>
      </c>
      <c r="E47" s="203" t="s">
        <v>241</v>
      </c>
      <c r="F47" s="203" t="s">
        <v>242</v>
      </c>
      <c r="G47" s="203" t="s">
        <v>243</v>
      </c>
      <c r="H47" s="203" t="s">
        <v>289</v>
      </c>
      <c r="I47" s="203" t="s">
        <v>329</v>
      </c>
      <c r="J47" s="203" t="s">
        <v>243</v>
      </c>
      <c r="K47" s="203" t="s">
        <v>290</v>
      </c>
      <c r="L47" s="203" t="s">
        <v>243</v>
      </c>
      <c r="M47" s="203" t="s">
        <v>243</v>
      </c>
      <c r="N47" s="203" t="s">
        <v>243</v>
      </c>
      <c r="O47" s="300">
        <v>4</v>
      </c>
      <c r="P47" s="300">
        <v>4</v>
      </c>
      <c r="Q47" s="300">
        <v>4</v>
      </c>
      <c r="R47" s="300">
        <v>4</v>
      </c>
      <c r="S47" s="300">
        <v>1</v>
      </c>
      <c r="T47" s="203" t="s">
        <v>244</v>
      </c>
      <c r="U47" s="203" t="s">
        <v>245</v>
      </c>
      <c r="V47" s="203" t="s">
        <v>246</v>
      </c>
      <c r="W47" s="203" t="s">
        <v>330</v>
      </c>
      <c r="X47" s="203" t="s">
        <v>248</v>
      </c>
      <c r="Y47" s="205" t="s">
        <v>331</v>
      </c>
    </row>
    <row r="48" spans="1:25" x14ac:dyDescent="0.25">
      <c r="A48" s="214">
        <v>47</v>
      </c>
      <c r="B48" s="200" t="s">
        <v>948</v>
      </c>
      <c r="C48" s="201" t="s">
        <v>47</v>
      </c>
      <c r="D48" s="200" t="s">
        <v>250</v>
      </c>
      <c r="E48" s="200" t="s">
        <v>251</v>
      </c>
      <c r="F48" s="200" t="s">
        <v>242</v>
      </c>
      <c r="G48" s="200" t="s">
        <v>243</v>
      </c>
      <c r="H48" s="200" t="s">
        <v>243</v>
      </c>
      <c r="I48" s="200" t="s">
        <v>243</v>
      </c>
      <c r="J48" s="200" t="s">
        <v>243</v>
      </c>
      <c r="K48" s="200" t="s">
        <v>243</v>
      </c>
      <c r="L48" s="200" t="s">
        <v>243</v>
      </c>
      <c r="M48" s="200" t="s">
        <v>243</v>
      </c>
      <c r="N48" s="200" t="s">
        <v>243</v>
      </c>
      <c r="O48" s="299">
        <v>15</v>
      </c>
      <c r="P48" s="299">
        <v>7</v>
      </c>
      <c r="Q48" s="299">
        <v>7</v>
      </c>
      <c r="R48" s="299">
        <v>7</v>
      </c>
      <c r="S48" s="299"/>
      <c r="T48" s="200" t="s">
        <v>244</v>
      </c>
      <c r="U48" s="200" t="s">
        <v>245</v>
      </c>
      <c r="V48" s="200" t="s">
        <v>246</v>
      </c>
      <c r="W48" s="200" t="s">
        <v>256</v>
      </c>
      <c r="X48" s="200" t="s">
        <v>248</v>
      </c>
      <c r="Y48" s="202" t="s">
        <v>249</v>
      </c>
    </row>
    <row r="49" spans="1:25" x14ac:dyDescent="0.25">
      <c r="A49" s="215">
        <v>48</v>
      </c>
      <c r="B49" s="203" t="s">
        <v>949</v>
      </c>
      <c r="C49" s="204" t="s">
        <v>48</v>
      </c>
      <c r="D49" s="203" t="s">
        <v>250</v>
      </c>
      <c r="E49" s="203" t="s">
        <v>251</v>
      </c>
      <c r="F49" s="203" t="s">
        <v>242</v>
      </c>
      <c r="G49" s="203" t="s">
        <v>243</v>
      </c>
      <c r="H49" s="203" t="s">
        <v>243</v>
      </c>
      <c r="I49" s="203" t="s">
        <v>243</v>
      </c>
      <c r="J49" s="203" t="s">
        <v>243</v>
      </c>
      <c r="K49" s="203" t="s">
        <v>243</v>
      </c>
      <c r="L49" s="203" t="s">
        <v>243</v>
      </c>
      <c r="M49" s="203" t="s">
        <v>243</v>
      </c>
      <c r="N49" s="203" t="s">
        <v>243</v>
      </c>
      <c r="O49" s="300">
        <v>15</v>
      </c>
      <c r="P49" s="300">
        <v>7</v>
      </c>
      <c r="Q49" s="300">
        <v>7</v>
      </c>
      <c r="R49" s="300">
        <v>7</v>
      </c>
      <c r="S49" s="300"/>
      <c r="T49" s="203" t="s">
        <v>244</v>
      </c>
      <c r="U49" s="203" t="s">
        <v>245</v>
      </c>
      <c r="V49" s="203" t="s">
        <v>246</v>
      </c>
      <c r="W49" s="203" t="s">
        <v>247</v>
      </c>
      <c r="X49" s="203" t="s">
        <v>248</v>
      </c>
      <c r="Y49" s="205" t="s">
        <v>249</v>
      </c>
    </row>
    <row r="50" spans="1:25" ht="30" x14ac:dyDescent="0.25">
      <c r="A50" s="214">
        <v>49</v>
      </c>
      <c r="B50" s="200" t="s">
        <v>950</v>
      </c>
      <c r="C50" s="201" t="s">
        <v>49</v>
      </c>
      <c r="D50" s="200" t="s">
        <v>250</v>
      </c>
      <c r="E50" s="200" t="s">
        <v>251</v>
      </c>
      <c r="F50" s="200" t="s">
        <v>242</v>
      </c>
      <c r="G50" s="200" t="s">
        <v>243</v>
      </c>
      <c r="H50" s="200" t="s">
        <v>243</v>
      </c>
      <c r="I50" s="200" t="s">
        <v>243</v>
      </c>
      <c r="J50" s="200" t="s">
        <v>243</v>
      </c>
      <c r="K50" s="200" t="s">
        <v>243</v>
      </c>
      <c r="L50" s="200" t="s">
        <v>243</v>
      </c>
      <c r="M50" s="200" t="s">
        <v>243</v>
      </c>
      <c r="N50" s="200" t="s">
        <v>243</v>
      </c>
      <c r="O50" s="299">
        <v>15</v>
      </c>
      <c r="P50" s="299">
        <v>7</v>
      </c>
      <c r="Q50" s="299">
        <v>7</v>
      </c>
      <c r="R50" s="299">
        <v>7</v>
      </c>
      <c r="S50" s="299"/>
      <c r="T50" s="200" t="s">
        <v>244</v>
      </c>
      <c r="U50" s="200" t="s">
        <v>245</v>
      </c>
      <c r="V50" s="200" t="s">
        <v>246</v>
      </c>
      <c r="W50" s="200" t="s">
        <v>247</v>
      </c>
      <c r="X50" s="200" t="s">
        <v>248</v>
      </c>
      <c r="Y50" s="202" t="s">
        <v>249</v>
      </c>
    </row>
    <row r="51" spans="1:25" ht="30" x14ac:dyDescent="0.25">
      <c r="A51" s="215">
        <v>50</v>
      </c>
      <c r="B51" s="203" t="s">
        <v>951</v>
      </c>
      <c r="C51" s="204" t="s">
        <v>50</v>
      </c>
      <c r="D51" s="203" t="s">
        <v>250</v>
      </c>
      <c r="E51" s="203" t="s">
        <v>251</v>
      </c>
      <c r="F51" s="203" t="s">
        <v>242</v>
      </c>
      <c r="G51" s="203" t="s">
        <v>243</v>
      </c>
      <c r="H51" s="203" t="s">
        <v>243</v>
      </c>
      <c r="I51" s="203" t="s">
        <v>243</v>
      </c>
      <c r="J51" s="203" t="s">
        <v>243</v>
      </c>
      <c r="K51" s="203" t="s">
        <v>243</v>
      </c>
      <c r="L51" s="203" t="s">
        <v>243</v>
      </c>
      <c r="M51" s="203" t="s">
        <v>243</v>
      </c>
      <c r="N51" s="203" t="s">
        <v>243</v>
      </c>
      <c r="O51" s="300">
        <v>15</v>
      </c>
      <c r="P51" s="300">
        <v>7</v>
      </c>
      <c r="Q51" s="300">
        <v>7</v>
      </c>
      <c r="R51" s="300">
        <v>7</v>
      </c>
      <c r="S51" s="300"/>
      <c r="T51" s="203" t="s">
        <v>244</v>
      </c>
      <c r="U51" s="203" t="s">
        <v>245</v>
      </c>
      <c r="V51" s="203" t="s">
        <v>246</v>
      </c>
      <c r="W51" s="203" t="s">
        <v>256</v>
      </c>
      <c r="X51" s="203" t="s">
        <v>248</v>
      </c>
      <c r="Y51" s="205" t="s">
        <v>249</v>
      </c>
    </row>
    <row r="52" spans="1:25" s="4" customFormat="1" ht="150" x14ac:dyDescent="0.25">
      <c r="A52" s="214">
        <v>51</v>
      </c>
      <c r="B52" s="200" t="s">
        <v>952</v>
      </c>
      <c r="C52" s="201" t="s">
        <v>51</v>
      </c>
      <c r="D52" s="200" t="s">
        <v>288</v>
      </c>
      <c r="E52" s="200" t="s">
        <v>241</v>
      </c>
      <c r="F52" s="200" t="s">
        <v>242</v>
      </c>
      <c r="G52" s="200" t="s">
        <v>333</v>
      </c>
      <c r="H52" s="200" t="s">
        <v>243</v>
      </c>
      <c r="I52" s="200" t="s">
        <v>243</v>
      </c>
      <c r="J52" s="200" t="s">
        <v>243</v>
      </c>
      <c r="K52" s="200" t="s">
        <v>290</v>
      </c>
      <c r="L52" s="200" t="s">
        <v>243</v>
      </c>
      <c r="M52" s="200" t="s">
        <v>290</v>
      </c>
      <c r="N52" s="200" t="s">
        <v>290</v>
      </c>
      <c r="O52" s="299">
        <v>56</v>
      </c>
      <c r="P52" s="299">
        <v>16</v>
      </c>
      <c r="Q52" s="299">
        <v>25</v>
      </c>
      <c r="R52" s="299">
        <v>26</v>
      </c>
      <c r="S52" s="299">
        <v>1</v>
      </c>
      <c r="T52" s="200" t="s">
        <v>291</v>
      </c>
      <c r="U52" s="200" t="s">
        <v>321</v>
      </c>
      <c r="V52" s="200" t="s">
        <v>293</v>
      </c>
      <c r="W52" s="200" t="s">
        <v>294</v>
      </c>
      <c r="X52" s="200" t="s">
        <v>299</v>
      </c>
      <c r="Y52" s="202" t="s">
        <v>332</v>
      </c>
    </row>
    <row r="53" spans="1:25" ht="30" x14ac:dyDescent="0.25">
      <c r="A53" s="215">
        <v>52</v>
      </c>
      <c r="B53" s="203" t="s">
        <v>953</v>
      </c>
      <c r="C53" s="204" t="s">
        <v>52</v>
      </c>
      <c r="D53" s="203" t="s">
        <v>250</v>
      </c>
      <c r="E53" s="203" t="s">
        <v>251</v>
      </c>
      <c r="F53" s="203" t="s">
        <v>242</v>
      </c>
      <c r="G53" s="203" t="s">
        <v>243</v>
      </c>
      <c r="H53" s="203" t="s">
        <v>243</v>
      </c>
      <c r="I53" s="203" t="s">
        <v>243</v>
      </c>
      <c r="J53" s="203" t="s">
        <v>243</v>
      </c>
      <c r="K53" s="203" t="s">
        <v>243</v>
      </c>
      <c r="L53" s="203" t="s">
        <v>243</v>
      </c>
      <c r="M53" s="203" t="s">
        <v>243</v>
      </c>
      <c r="N53" s="203" t="s">
        <v>243</v>
      </c>
      <c r="O53" s="300">
        <v>15</v>
      </c>
      <c r="P53" s="300">
        <v>7</v>
      </c>
      <c r="Q53" s="300">
        <v>7</v>
      </c>
      <c r="R53" s="300">
        <v>7</v>
      </c>
      <c r="S53" s="300"/>
      <c r="T53" s="203" t="s">
        <v>244</v>
      </c>
      <c r="U53" s="203" t="s">
        <v>245</v>
      </c>
      <c r="V53" s="203" t="s">
        <v>246</v>
      </c>
      <c r="W53" s="203" t="s">
        <v>256</v>
      </c>
      <c r="X53" s="203" t="s">
        <v>248</v>
      </c>
      <c r="Y53" s="205" t="s">
        <v>249</v>
      </c>
    </row>
    <row r="54" spans="1:25" s="4" customFormat="1" ht="30" x14ac:dyDescent="0.25">
      <c r="A54" s="214">
        <v>53</v>
      </c>
      <c r="B54" s="200" t="s">
        <v>954</v>
      </c>
      <c r="C54" s="201" t="s">
        <v>53</v>
      </c>
      <c r="D54" s="200" t="s">
        <v>328</v>
      </c>
      <c r="E54" s="200" t="s">
        <v>241</v>
      </c>
      <c r="F54" s="200" t="s">
        <v>242</v>
      </c>
      <c r="G54" s="200" t="s">
        <v>243</v>
      </c>
      <c r="H54" s="200" t="s">
        <v>311</v>
      </c>
      <c r="I54" s="200" t="s">
        <v>338</v>
      </c>
      <c r="J54" s="200" t="s">
        <v>290</v>
      </c>
      <c r="K54" s="200" t="s">
        <v>243</v>
      </c>
      <c r="L54" s="200" t="s">
        <v>243</v>
      </c>
      <c r="M54" s="200" t="s">
        <v>243</v>
      </c>
      <c r="N54" s="200" t="s">
        <v>243</v>
      </c>
      <c r="O54" s="299">
        <v>15</v>
      </c>
      <c r="P54" s="299">
        <v>7</v>
      </c>
      <c r="Q54" s="299">
        <v>7</v>
      </c>
      <c r="R54" s="299">
        <v>7</v>
      </c>
      <c r="S54" s="299">
        <v>1</v>
      </c>
      <c r="T54" s="200" t="s">
        <v>244</v>
      </c>
      <c r="U54" s="200" t="s">
        <v>245</v>
      </c>
      <c r="V54" s="200" t="s">
        <v>246</v>
      </c>
      <c r="W54" s="200" t="s">
        <v>334</v>
      </c>
      <c r="X54" s="200" t="s">
        <v>248</v>
      </c>
      <c r="Y54" s="202" t="s">
        <v>335</v>
      </c>
    </row>
    <row r="55" spans="1:25" s="4" customFormat="1" ht="60" x14ac:dyDescent="0.25">
      <c r="A55" s="215">
        <v>54</v>
      </c>
      <c r="B55" s="203" t="s">
        <v>955</v>
      </c>
      <c r="C55" s="204" t="s">
        <v>54</v>
      </c>
      <c r="D55" s="203" t="s">
        <v>336</v>
      </c>
      <c r="E55" s="203" t="s">
        <v>241</v>
      </c>
      <c r="F55" s="203" t="s">
        <v>242</v>
      </c>
      <c r="G55" s="203" t="s">
        <v>289</v>
      </c>
      <c r="H55" s="203" t="s">
        <v>311</v>
      </c>
      <c r="I55" s="203" t="s">
        <v>337</v>
      </c>
      <c r="J55" s="203" t="s">
        <v>243</v>
      </c>
      <c r="K55" s="203" t="s">
        <v>243</v>
      </c>
      <c r="L55" s="203" t="s">
        <v>243</v>
      </c>
      <c r="M55" s="203" t="s">
        <v>243</v>
      </c>
      <c r="N55" s="203" t="s">
        <v>243</v>
      </c>
      <c r="O55" s="300">
        <v>20</v>
      </c>
      <c r="P55" s="300">
        <v>7</v>
      </c>
      <c r="Q55" s="300">
        <v>7</v>
      </c>
      <c r="R55" s="300">
        <v>7</v>
      </c>
      <c r="S55" s="300">
        <v>3</v>
      </c>
      <c r="T55" s="203" t="s">
        <v>267</v>
      </c>
      <c r="U55" s="203" t="s">
        <v>321</v>
      </c>
      <c r="V55" s="203" t="s">
        <v>268</v>
      </c>
      <c r="W55" s="203" t="s">
        <v>334</v>
      </c>
      <c r="X55" s="203" t="s">
        <v>313</v>
      </c>
      <c r="Y55" s="205" t="s">
        <v>386</v>
      </c>
    </row>
    <row r="56" spans="1:25" ht="30" x14ac:dyDescent="0.25">
      <c r="A56" s="214">
        <v>55</v>
      </c>
      <c r="B56" s="200" t="s">
        <v>956</v>
      </c>
      <c r="C56" s="201" t="s">
        <v>55</v>
      </c>
      <c r="D56" s="200" t="s">
        <v>250</v>
      </c>
      <c r="E56" s="200" t="s">
        <v>251</v>
      </c>
      <c r="F56" s="200" t="s">
        <v>242</v>
      </c>
      <c r="G56" s="200" t="s">
        <v>243</v>
      </c>
      <c r="H56" s="200" t="s">
        <v>243</v>
      </c>
      <c r="I56" s="200" t="s">
        <v>243</v>
      </c>
      <c r="J56" s="200" t="s">
        <v>243</v>
      </c>
      <c r="K56" s="200" t="s">
        <v>243</v>
      </c>
      <c r="L56" s="200" t="s">
        <v>243</v>
      </c>
      <c r="M56" s="200" t="s">
        <v>243</v>
      </c>
      <c r="N56" s="200" t="s">
        <v>243</v>
      </c>
      <c r="O56" s="299">
        <v>15</v>
      </c>
      <c r="P56" s="299">
        <v>7</v>
      </c>
      <c r="Q56" s="299">
        <v>7</v>
      </c>
      <c r="R56" s="299">
        <v>7</v>
      </c>
      <c r="S56" s="299"/>
      <c r="T56" s="200" t="s">
        <v>244</v>
      </c>
      <c r="U56" s="200" t="s">
        <v>245</v>
      </c>
      <c r="V56" s="200" t="s">
        <v>246</v>
      </c>
      <c r="W56" s="200" t="s">
        <v>247</v>
      </c>
      <c r="X56" s="200" t="s">
        <v>248</v>
      </c>
      <c r="Y56" s="202" t="s">
        <v>249</v>
      </c>
    </row>
    <row r="57" spans="1:25" ht="30" x14ac:dyDescent="0.25">
      <c r="A57" s="215">
        <v>56</v>
      </c>
      <c r="B57" s="203" t="s">
        <v>956</v>
      </c>
      <c r="C57" s="204" t="s">
        <v>56</v>
      </c>
      <c r="D57" s="203" t="s">
        <v>250</v>
      </c>
      <c r="E57" s="203" t="s">
        <v>251</v>
      </c>
      <c r="F57" s="203" t="s">
        <v>242</v>
      </c>
      <c r="G57" s="203" t="s">
        <v>243</v>
      </c>
      <c r="H57" s="203" t="s">
        <v>243</v>
      </c>
      <c r="I57" s="203" t="s">
        <v>243</v>
      </c>
      <c r="J57" s="203" t="s">
        <v>243</v>
      </c>
      <c r="K57" s="203" t="s">
        <v>243</v>
      </c>
      <c r="L57" s="203" t="s">
        <v>243</v>
      </c>
      <c r="M57" s="203" t="s">
        <v>243</v>
      </c>
      <c r="N57" s="203" t="s">
        <v>243</v>
      </c>
      <c r="O57" s="300">
        <v>15</v>
      </c>
      <c r="P57" s="300">
        <v>7</v>
      </c>
      <c r="Q57" s="300">
        <v>7</v>
      </c>
      <c r="R57" s="300">
        <v>7</v>
      </c>
      <c r="S57" s="300"/>
      <c r="T57" s="203" t="s">
        <v>244</v>
      </c>
      <c r="U57" s="203" t="s">
        <v>245</v>
      </c>
      <c r="V57" s="203" t="s">
        <v>246</v>
      </c>
      <c r="W57" s="203" t="s">
        <v>247</v>
      </c>
      <c r="X57" s="203" t="s">
        <v>248</v>
      </c>
      <c r="Y57" s="205" t="s">
        <v>249</v>
      </c>
    </row>
    <row r="58" spans="1:25" ht="30" x14ac:dyDescent="0.25">
      <c r="A58" s="214">
        <v>57</v>
      </c>
      <c r="B58" s="200" t="s">
        <v>956</v>
      </c>
      <c r="C58" s="201" t="s">
        <v>57</v>
      </c>
      <c r="D58" s="200" t="s">
        <v>250</v>
      </c>
      <c r="E58" s="200" t="s">
        <v>251</v>
      </c>
      <c r="F58" s="200" t="s">
        <v>242</v>
      </c>
      <c r="G58" s="200" t="s">
        <v>243</v>
      </c>
      <c r="H58" s="200" t="s">
        <v>243</v>
      </c>
      <c r="I58" s="200" t="s">
        <v>243</v>
      </c>
      <c r="J58" s="200" t="s">
        <v>243</v>
      </c>
      <c r="K58" s="200" t="s">
        <v>243</v>
      </c>
      <c r="L58" s="200" t="s">
        <v>243</v>
      </c>
      <c r="M58" s="200" t="s">
        <v>243</v>
      </c>
      <c r="N58" s="200" t="s">
        <v>243</v>
      </c>
      <c r="O58" s="299">
        <v>15</v>
      </c>
      <c r="P58" s="299">
        <v>7</v>
      </c>
      <c r="Q58" s="299">
        <v>7</v>
      </c>
      <c r="R58" s="299">
        <v>7</v>
      </c>
      <c r="S58" s="299"/>
      <c r="T58" s="200" t="s">
        <v>244</v>
      </c>
      <c r="U58" s="200" t="s">
        <v>245</v>
      </c>
      <c r="V58" s="200" t="s">
        <v>246</v>
      </c>
      <c r="W58" s="200" t="s">
        <v>247</v>
      </c>
      <c r="X58" s="200" t="s">
        <v>248</v>
      </c>
      <c r="Y58" s="202" t="s">
        <v>249</v>
      </c>
    </row>
    <row r="59" spans="1:25" x14ac:dyDescent="0.25">
      <c r="A59" s="215">
        <v>58</v>
      </c>
      <c r="B59" s="203" t="s">
        <v>957</v>
      </c>
      <c r="C59" s="204" t="s">
        <v>58</v>
      </c>
      <c r="D59" s="203" t="s">
        <v>250</v>
      </c>
      <c r="E59" s="203" t="s">
        <v>251</v>
      </c>
      <c r="F59" s="203" t="s">
        <v>242</v>
      </c>
      <c r="G59" s="203" t="s">
        <v>243</v>
      </c>
      <c r="H59" s="203" t="s">
        <v>243</v>
      </c>
      <c r="I59" s="203" t="s">
        <v>243</v>
      </c>
      <c r="J59" s="203" t="s">
        <v>243</v>
      </c>
      <c r="K59" s="203" t="s">
        <v>243</v>
      </c>
      <c r="L59" s="203" t="s">
        <v>243</v>
      </c>
      <c r="M59" s="203" t="s">
        <v>243</v>
      </c>
      <c r="N59" s="203" t="s">
        <v>243</v>
      </c>
      <c r="O59" s="300">
        <v>15</v>
      </c>
      <c r="P59" s="300">
        <v>7</v>
      </c>
      <c r="Q59" s="300">
        <v>7</v>
      </c>
      <c r="R59" s="300">
        <v>7</v>
      </c>
      <c r="S59" s="300"/>
      <c r="T59" s="203" t="s">
        <v>244</v>
      </c>
      <c r="U59" s="203" t="s">
        <v>245</v>
      </c>
      <c r="V59" s="203" t="s">
        <v>246</v>
      </c>
      <c r="W59" s="203" t="s">
        <v>247</v>
      </c>
      <c r="X59" s="203" t="s">
        <v>248</v>
      </c>
      <c r="Y59" s="205" t="s">
        <v>249</v>
      </c>
    </row>
    <row r="60" spans="1:25" ht="45" x14ac:dyDescent="0.25">
      <c r="A60" s="214">
        <v>59</v>
      </c>
      <c r="B60" s="200" t="s">
        <v>958</v>
      </c>
      <c r="C60" s="201" t="s">
        <v>59</v>
      </c>
      <c r="D60" s="200" t="s">
        <v>250</v>
      </c>
      <c r="E60" s="200" t="s">
        <v>251</v>
      </c>
      <c r="F60" s="200" t="s">
        <v>242</v>
      </c>
      <c r="G60" s="200" t="s">
        <v>243</v>
      </c>
      <c r="H60" s="200" t="s">
        <v>243</v>
      </c>
      <c r="I60" s="200" t="s">
        <v>243</v>
      </c>
      <c r="J60" s="200" t="s">
        <v>243</v>
      </c>
      <c r="K60" s="200" t="s">
        <v>243</v>
      </c>
      <c r="L60" s="200" t="s">
        <v>243</v>
      </c>
      <c r="M60" s="200" t="s">
        <v>243</v>
      </c>
      <c r="N60" s="200" t="s">
        <v>243</v>
      </c>
      <c r="O60" s="299">
        <v>15</v>
      </c>
      <c r="P60" s="299">
        <v>7</v>
      </c>
      <c r="Q60" s="299">
        <v>7</v>
      </c>
      <c r="R60" s="299">
        <v>7</v>
      </c>
      <c r="S60" s="299"/>
      <c r="T60" s="200" t="s">
        <v>244</v>
      </c>
      <c r="U60" s="200" t="s">
        <v>245</v>
      </c>
      <c r="V60" s="200" t="s">
        <v>246</v>
      </c>
      <c r="W60" s="200" t="s">
        <v>247</v>
      </c>
      <c r="X60" s="200" t="s">
        <v>248</v>
      </c>
      <c r="Y60" s="202" t="s">
        <v>249</v>
      </c>
    </row>
    <row r="61" spans="1:25" ht="30" x14ac:dyDescent="0.25">
      <c r="A61" s="215">
        <v>60</v>
      </c>
      <c r="B61" s="203" t="s">
        <v>959</v>
      </c>
      <c r="C61" s="204" t="s">
        <v>60</v>
      </c>
      <c r="D61" s="203" t="s">
        <v>250</v>
      </c>
      <c r="E61" s="203" t="s">
        <v>251</v>
      </c>
      <c r="F61" s="203" t="s">
        <v>242</v>
      </c>
      <c r="G61" s="203" t="s">
        <v>243</v>
      </c>
      <c r="H61" s="203" t="s">
        <v>243</v>
      </c>
      <c r="I61" s="203" t="s">
        <v>243</v>
      </c>
      <c r="J61" s="203" t="s">
        <v>243</v>
      </c>
      <c r="K61" s="203" t="s">
        <v>243</v>
      </c>
      <c r="L61" s="203" t="s">
        <v>243</v>
      </c>
      <c r="M61" s="203" t="s">
        <v>243</v>
      </c>
      <c r="N61" s="203" t="s">
        <v>243</v>
      </c>
      <c r="O61" s="300">
        <v>15</v>
      </c>
      <c r="P61" s="300">
        <v>7</v>
      </c>
      <c r="Q61" s="300">
        <v>7</v>
      </c>
      <c r="R61" s="300">
        <v>7</v>
      </c>
      <c r="S61" s="300"/>
      <c r="T61" s="203" t="s">
        <v>244</v>
      </c>
      <c r="U61" s="203" t="s">
        <v>245</v>
      </c>
      <c r="V61" s="203" t="s">
        <v>246</v>
      </c>
      <c r="W61" s="203" t="s">
        <v>247</v>
      </c>
      <c r="X61" s="203" t="s">
        <v>248</v>
      </c>
      <c r="Y61" s="205" t="s">
        <v>249</v>
      </c>
    </row>
    <row r="62" spans="1:25" x14ac:dyDescent="0.25">
      <c r="A62" s="214">
        <v>61</v>
      </c>
      <c r="B62" s="200" t="s">
        <v>960</v>
      </c>
      <c r="C62" s="201" t="s">
        <v>61</v>
      </c>
      <c r="D62" s="200" t="s">
        <v>250</v>
      </c>
      <c r="E62" s="200" t="s">
        <v>251</v>
      </c>
      <c r="F62" s="200" t="s">
        <v>242</v>
      </c>
      <c r="G62" s="200" t="s">
        <v>243</v>
      </c>
      <c r="H62" s="200" t="s">
        <v>243</v>
      </c>
      <c r="I62" s="200" t="s">
        <v>243</v>
      </c>
      <c r="J62" s="200" t="s">
        <v>243</v>
      </c>
      <c r="K62" s="200" t="s">
        <v>243</v>
      </c>
      <c r="L62" s="200" t="s">
        <v>243</v>
      </c>
      <c r="M62" s="200" t="s">
        <v>243</v>
      </c>
      <c r="N62" s="200" t="s">
        <v>243</v>
      </c>
      <c r="O62" s="299">
        <v>15</v>
      </c>
      <c r="P62" s="299">
        <v>7</v>
      </c>
      <c r="Q62" s="299">
        <v>7</v>
      </c>
      <c r="R62" s="299">
        <v>7</v>
      </c>
      <c r="S62" s="299"/>
      <c r="T62" s="200" t="s">
        <v>244</v>
      </c>
      <c r="U62" s="200" t="s">
        <v>245</v>
      </c>
      <c r="V62" s="200" t="s">
        <v>246</v>
      </c>
      <c r="W62" s="200" t="s">
        <v>256</v>
      </c>
      <c r="X62" s="200" t="s">
        <v>248</v>
      </c>
      <c r="Y62" s="202" t="s">
        <v>249</v>
      </c>
    </row>
    <row r="63" spans="1:25" ht="30" x14ac:dyDescent="0.25">
      <c r="A63" s="215">
        <v>62</v>
      </c>
      <c r="B63" s="203" t="s">
        <v>961</v>
      </c>
      <c r="C63" s="204" t="s">
        <v>62</v>
      </c>
      <c r="D63" s="203" t="s">
        <v>250</v>
      </c>
      <c r="E63" s="203" t="s">
        <v>251</v>
      </c>
      <c r="F63" s="203" t="s">
        <v>242</v>
      </c>
      <c r="G63" s="203" t="s">
        <v>243</v>
      </c>
      <c r="H63" s="203" t="s">
        <v>243</v>
      </c>
      <c r="I63" s="203" t="s">
        <v>243</v>
      </c>
      <c r="J63" s="203" t="s">
        <v>243</v>
      </c>
      <c r="K63" s="203" t="s">
        <v>243</v>
      </c>
      <c r="L63" s="203" t="s">
        <v>243</v>
      </c>
      <c r="M63" s="203" t="s">
        <v>243</v>
      </c>
      <c r="N63" s="203" t="s">
        <v>243</v>
      </c>
      <c r="O63" s="300">
        <v>15</v>
      </c>
      <c r="P63" s="300">
        <v>7</v>
      </c>
      <c r="Q63" s="300">
        <v>7</v>
      </c>
      <c r="R63" s="300">
        <v>7</v>
      </c>
      <c r="S63" s="300"/>
      <c r="T63" s="203" t="s">
        <v>244</v>
      </c>
      <c r="U63" s="203" t="s">
        <v>245</v>
      </c>
      <c r="V63" s="203" t="s">
        <v>246</v>
      </c>
      <c r="W63" s="203" t="s">
        <v>247</v>
      </c>
      <c r="X63" s="203" t="s">
        <v>248</v>
      </c>
      <c r="Y63" s="205" t="s">
        <v>249</v>
      </c>
    </row>
    <row r="64" spans="1:25" x14ac:dyDescent="0.25">
      <c r="A64" s="214">
        <v>63</v>
      </c>
      <c r="B64" s="200" t="s">
        <v>962</v>
      </c>
      <c r="C64" s="201" t="s">
        <v>63</v>
      </c>
      <c r="D64" s="200" t="s">
        <v>250</v>
      </c>
      <c r="E64" s="200" t="s">
        <v>251</v>
      </c>
      <c r="F64" s="200" t="s">
        <v>242</v>
      </c>
      <c r="G64" s="200" t="s">
        <v>243</v>
      </c>
      <c r="H64" s="200" t="s">
        <v>243</v>
      </c>
      <c r="I64" s="200" t="s">
        <v>243</v>
      </c>
      <c r="J64" s="200" t="s">
        <v>243</v>
      </c>
      <c r="K64" s="200" t="s">
        <v>243</v>
      </c>
      <c r="L64" s="200" t="s">
        <v>243</v>
      </c>
      <c r="M64" s="200" t="s">
        <v>243</v>
      </c>
      <c r="N64" s="200" t="s">
        <v>243</v>
      </c>
      <c r="O64" s="299">
        <v>15</v>
      </c>
      <c r="P64" s="299">
        <v>7</v>
      </c>
      <c r="Q64" s="299">
        <v>7</v>
      </c>
      <c r="R64" s="299">
        <v>7</v>
      </c>
      <c r="S64" s="299"/>
      <c r="T64" s="200" t="s">
        <v>244</v>
      </c>
      <c r="U64" s="200" t="s">
        <v>245</v>
      </c>
      <c r="V64" s="200" t="s">
        <v>246</v>
      </c>
      <c r="W64" s="200" t="s">
        <v>247</v>
      </c>
      <c r="X64" s="200" t="s">
        <v>248</v>
      </c>
      <c r="Y64" s="202" t="s">
        <v>249</v>
      </c>
    </row>
    <row r="65" spans="1:25" ht="30" x14ac:dyDescent="0.25">
      <c r="A65" s="215">
        <v>64</v>
      </c>
      <c r="B65" s="203" t="s">
        <v>963</v>
      </c>
      <c r="C65" s="204" t="s">
        <v>64</v>
      </c>
      <c r="D65" s="203" t="s">
        <v>250</v>
      </c>
      <c r="E65" s="203" t="s">
        <v>251</v>
      </c>
      <c r="F65" s="203" t="s">
        <v>242</v>
      </c>
      <c r="G65" s="203" t="s">
        <v>243</v>
      </c>
      <c r="H65" s="203" t="s">
        <v>243</v>
      </c>
      <c r="I65" s="203" t="s">
        <v>243</v>
      </c>
      <c r="J65" s="203" t="s">
        <v>243</v>
      </c>
      <c r="K65" s="203" t="s">
        <v>243</v>
      </c>
      <c r="L65" s="203" t="s">
        <v>243</v>
      </c>
      <c r="M65" s="203" t="s">
        <v>243</v>
      </c>
      <c r="N65" s="203" t="s">
        <v>243</v>
      </c>
      <c r="O65" s="300">
        <v>15</v>
      </c>
      <c r="P65" s="300">
        <v>7</v>
      </c>
      <c r="Q65" s="300">
        <v>7</v>
      </c>
      <c r="R65" s="300">
        <v>7</v>
      </c>
      <c r="S65" s="300"/>
      <c r="T65" s="203" t="s">
        <v>244</v>
      </c>
      <c r="U65" s="203" t="s">
        <v>245</v>
      </c>
      <c r="V65" s="203" t="s">
        <v>246</v>
      </c>
      <c r="W65" s="203" t="s">
        <v>247</v>
      </c>
      <c r="X65" s="203" t="s">
        <v>248</v>
      </c>
      <c r="Y65" s="205" t="s">
        <v>249</v>
      </c>
    </row>
    <row r="66" spans="1:25" ht="30" x14ac:dyDescent="0.25">
      <c r="A66" s="214">
        <v>65</v>
      </c>
      <c r="B66" s="200" t="s">
        <v>964</v>
      </c>
      <c r="C66" s="201" t="s">
        <v>65</v>
      </c>
      <c r="D66" s="200" t="s">
        <v>250</v>
      </c>
      <c r="E66" s="200" t="s">
        <v>251</v>
      </c>
      <c r="F66" s="200" t="s">
        <v>242</v>
      </c>
      <c r="G66" s="200" t="s">
        <v>243</v>
      </c>
      <c r="H66" s="200" t="s">
        <v>243</v>
      </c>
      <c r="I66" s="200" t="s">
        <v>243</v>
      </c>
      <c r="J66" s="200" t="s">
        <v>243</v>
      </c>
      <c r="K66" s="200" t="s">
        <v>243</v>
      </c>
      <c r="L66" s="200" t="s">
        <v>243</v>
      </c>
      <c r="M66" s="200" t="s">
        <v>243</v>
      </c>
      <c r="N66" s="200" t="s">
        <v>243</v>
      </c>
      <c r="O66" s="299">
        <v>15</v>
      </c>
      <c r="P66" s="299">
        <v>7</v>
      </c>
      <c r="Q66" s="299">
        <v>7</v>
      </c>
      <c r="R66" s="299">
        <v>7</v>
      </c>
      <c r="S66" s="299"/>
      <c r="T66" s="200" t="s">
        <v>244</v>
      </c>
      <c r="U66" s="200" t="s">
        <v>245</v>
      </c>
      <c r="V66" s="200" t="s">
        <v>246</v>
      </c>
      <c r="W66" s="200" t="s">
        <v>247</v>
      </c>
      <c r="X66" s="200" t="s">
        <v>248</v>
      </c>
      <c r="Y66" s="202" t="s">
        <v>249</v>
      </c>
    </row>
    <row r="67" spans="1:25" ht="30" x14ac:dyDescent="0.25">
      <c r="A67" s="215">
        <v>66</v>
      </c>
      <c r="B67" s="203" t="s">
        <v>965</v>
      </c>
      <c r="C67" s="204" t="s">
        <v>66</v>
      </c>
      <c r="D67" s="203" t="s">
        <v>250</v>
      </c>
      <c r="E67" s="203" t="s">
        <v>251</v>
      </c>
      <c r="F67" s="203" t="s">
        <v>242</v>
      </c>
      <c r="G67" s="203" t="s">
        <v>243</v>
      </c>
      <c r="H67" s="203" t="s">
        <v>243</v>
      </c>
      <c r="I67" s="203" t="s">
        <v>243</v>
      </c>
      <c r="J67" s="203" t="s">
        <v>243</v>
      </c>
      <c r="K67" s="203" t="s">
        <v>243</v>
      </c>
      <c r="L67" s="203" t="s">
        <v>243</v>
      </c>
      <c r="M67" s="203" t="s">
        <v>243</v>
      </c>
      <c r="N67" s="203" t="s">
        <v>243</v>
      </c>
      <c r="O67" s="300">
        <v>15</v>
      </c>
      <c r="P67" s="300">
        <v>7</v>
      </c>
      <c r="Q67" s="300">
        <v>7</v>
      </c>
      <c r="R67" s="300">
        <v>7</v>
      </c>
      <c r="S67" s="300"/>
      <c r="T67" s="203" t="s">
        <v>244</v>
      </c>
      <c r="U67" s="203" t="s">
        <v>245</v>
      </c>
      <c r="V67" s="203" t="s">
        <v>246</v>
      </c>
      <c r="W67" s="203" t="s">
        <v>259</v>
      </c>
      <c r="X67" s="203" t="s">
        <v>248</v>
      </c>
      <c r="Y67" s="205" t="s">
        <v>249</v>
      </c>
    </row>
    <row r="68" spans="1:25" ht="30" x14ac:dyDescent="0.25">
      <c r="A68" s="214">
        <v>67</v>
      </c>
      <c r="B68" s="200" t="s">
        <v>966</v>
      </c>
      <c r="C68" s="201" t="s">
        <v>67</v>
      </c>
      <c r="D68" s="200" t="s">
        <v>250</v>
      </c>
      <c r="E68" s="200" t="s">
        <v>251</v>
      </c>
      <c r="F68" s="200" t="s">
        <v>242</v>
      </c>
      <c r="G68" s="200" t="s">
        <v>243</v>
      </c>
      <c r="H68" s="200" t="s">
        <v>243</v>
      </c>
      <c r="I68" s="200" t="s">
        <v>243</v>
      </c>
      <c r="J68" s="200" t="s">
        <v>243</v>
      </c>
      <c r="K68" s="200" t="s">
        <v>243</v>
      </c>
      <c r="L68" s="200" t="s">
        <v>243</v>
      </c>
      <c r="M68" s="200" t="s">
        <v>243</v>
      </c>
      <c r="N68" s="200" t="s">
        <v>243</v>
      </c>
      <c r="O68" s="299">
        <v>15</v>
      </c>
      <c r="P68" s="299">
        <v>7</v>
      </c>
      <c r="Q68" s="299">
        <v>7</v>
      </c>
      <c r="R68" s="299">
        <v>7</v>
      </c>
      <c r="S68" s="299"/>
      <c r="T68" s="200" t="s">
        <v>244</v>
      </c>
      <c r="U68" s="200" t="s">
        <v>245</v>
      </c>
      <c r="V68" s="200" t="s">
        <v>246</v>
      </c>
      <c r="W68" s="200" t="s">
        <v>247</v>
      </c>
      <c r="X68" s="200" t="s">
        <v>248</v>
      </c>
      <c r="Y68" s="202" t="s">
        <v>249</v>
      </c>
    </row>
    <row r="69" spans="1:25" x14ac:dyDescent="0.25">
      <c r="A69" s="215">
        <v>68</v>
      </c>
      <c r="B69" s="203" t="s">
        <v>967</v>
      </c>
      <c r="C69" s="204" t="s">
        <v>68</v>
      </c>
      <c r="D69" s="203" t="s">
        <v>250</v>
      </c>
      <c r="E69" s="203" t="s">
        <v>251</v>
      </c>
      <c r="F69" s="203" t="s">
        <v>242</v>
      </c>
      <c r="G69" s="203" t="s">
        <v>243</v>
      </c>
      <c r="H69" s="203" t="s">
        <v>243</v>
      </c>
      <c r="I69" s="203" t="s">
        <v>243</v>
      </c>
      <c r="J69" s="203" t="s">
        <v>243</v>
      </c>
      <c r="K69" s="203" t="s">
        <v>243</v>
      </c>
      <c r="L69" s="203" t="s">
        <v>243</v>
      </c>
      <c r="M69" s="203" t="s">
        <v>243</v>
      </c>
      <c r="N69" s="203" t="s">
        <v>243</v>
      </c>
      <c r="O69" s="300">
        <v>15</v>
      </c>
      <c r="P69" s="300">
        <v>7</v>
      </c>
      <c r="Q69" s="300">
        <v>7</v>
      </c>
      <c r="R69" s="300">
        <v>7</v>
      </c>
      <c r="S69" s="300"/>
      <c r="T69" s="203" t="s">
        <v>244</v>
      </c>
      <c r="U69" s="203" t="s">
        <v>245</v>
      </c>
      <c r="V69" s="203" t="s">
        <v>246</v>
      </c>
      <c r="W69" s="203" t="s">
        <v>247</v>
      </c>
      <c r="X69" s="203" t="s">
        <v>248</v>
      </c>
      <c r="Y69" s="205" t="s">
        <v>249</v>
      </c>
    </row>
    <row r="70" spans="1:25" ht="30" x14ac:dyDescent="0.25">
      <c r="A70" s="214">
        <v>69</v>
      </c>
      <c r="B70" s="200" t="s">
        <v>968</v>
      </c>
      <c r="C70" s="201" t="s">
        <v>69</v>
      </c>
      <c r="D70" s="200" t="s">
        <v>250</v>
      </c>
      <c r="E70" s="200" t="s">
        <v>251</v>
      </c>
      <c r="F70" s="200" t="s">
        <v>242</v>
      </c>
      <c r="G70" s="200" t="s">
        <v>243</v>
      </c>
      <c r="H70" s="200" t="s">
        <v>243</v>
      </c>
      <c r="I70" s="200" t="s">
        <v>243</v>
      </c>
      <c r="J70" s="200" t="s">
        <v>243</v>
      </c>
      <c r="K70" s="200" t="s">
        <v>243</v>
      </c>
      <c r="L70" s="200" t="s">
        <v>243</v>
      </c>
      <c r="M70" s="200" t="s">
        <v>243</v>
      </c>
      <c r="N70" s="200" t="s">
        <v>243</v>
      </c>
      <c r="O70" s="299">
        <v>15</v>
      </c>
      <c r="P70" s="299">
        <v>7</v>
      </c>
      <c r="Q70" s="299">
        <v>7</v>
      </c>
      <c r="R70" s="299">
        <v>7</v>
      </c>
      <c r="S70" s="299"/>
      <c r="T70" s="200" t="s">
        <v>244</v>
      </c>
      <c r="U70" s="200" t="s">
        <v>245</v>
      </c>
      <c r="V70" s="200" t="s">
        <v>246</v>
      </c>
      <c r="W70" s="200" t="s">
        <v>247</v>
      </c>
      <c r="X70" s="200" t="s">
        <v>248</v>
      </c>
      <c r="Y70" s="202" t="s">
        <v>249</v>
      </c>
    </row>
    <row r="71" spans="1:25" x14ac:dyDescent="0.25">
      <c r="A71" s="215">
        <v>70</v>
      </c>
      <c r="B71" s="203" t="s">
        <v>969</v>
      </c>
      <c r="C71" s="204" t="s">
        <v>70</v>
      </c>
      <c r="D71" s="203" t="s">
        <v>250</v>
      </c>
      <c r="E71" s="203" t="s">
        <v>251</v>
      </c>
      <c r="F71" s="203" t="s">
        <v>242</v>
      </c>
      <c r="G71" s="203" t="s">
        <v>243</v>
      </c>
      <c r="H71" s="203" t="s">
        <v>243</v>
      </c>
      <c r="I71" s="203" t="s">
        <v>243</v>
      </c>
      <c r="J71" s="203" t="s">
        <v>243</v>
      </c>
      <c r="K71" s="203" t="s">
        <v>243</v>
      </c>
      <c r="L71" s="203" t="s">
        <v>243</v>
      </c>
      <c r="M71" s="203" t="s">
        <v>243</v>
      </c>
      <c r="N71" s="203" t="s">
        <v>243</v>
      </c>
      <c r="O71" s="300">
        <v>15</v>
      </c>
      <c r="P71" s="300">
        <v>7</v>
      </c>
      <c r="Q71" s="300">
        <v>7</v>
      </c>
      <c r="R71" s="300">
        <v>7</v>
      </c>
      <c r="S71" s="300"/>
      <c r="T71" s="203" t="s">
        <v>244</v>
      </c>
      <c r="U71" s="203" t="s">
        <v>245</v>
      </c>
      <c r="V71" s="203" t="s">
        <v>246</v>
      </c>
      <c r="W71" s="203" t="s">
        <v>259</v>
      </c>
      <c r="X71" s="203" t="s">
        <v>248</v>
      </c>
      <c r="Y71" s="205" t="s">
        <v>249</v>
      </c>
    </row>
    <row r="72" spans="1:25" x14ac:dyDescent="0.25">
      <c r="A72" s="214">
        <v>71</v>
      </c>
      <c r="B72" s="200" t="s">
        <v>970</v>
      </c>
      <c r="C72" s="201" t="s">
        <v>71</v>
      </c>
      <c r="D72" s="200" t="s">
        <v>250</v>
      </c>
      <c r="E72" s="200" t="s">
        <v>251</v>
      </c>
      <c r="F72" s="200" t="s">
        <v>242</v>
      </c>
      <c r="G72" s="200" t="s">
        <v>243</v>
      </c>
      <c r="H72" s="200" t="s">
        <v>243</v>
      </c>
      <c r="I72" s="200" t="s">
        <v>243</v>
      </c>
      <c r="J72" s="200" t="s">
        <v>243</v>
      </c>
      <c r="K72" s="200" t="s">
        <v>243</v>
      </c>
      <c r="L72" s="200" t="s">
        <v>243</v>
      </c>
      <c r="M72" s="200" t="s">
        <v>243</v>
      </c>
      <c r="N72" s="200" t="s">
        <v>243</v>
      </c>
      <c r="O72" s="299">
        <v>15</v>
      </c>
      <c r="P72" s="299">
        <v>7</v>
      </c>
      <c r="Q72" s="299">
        <v>7</v>
      </c>
      <c r="R72" s="299">
        <v>7</v>
      </c>
      <c r="S72" s="299"/>
      <c r="T72" s="200" t="s">
        <v>244</v>
      </c>
      <c r="U72" s="200" t="s">
        <v>245</v>
      </c>
      <c r="V72" s="200" t="s">
        <v>246</v>
      </c>
      <c r="W72" s="200" t="s">
        <v>247</v>
      </c>
      <c r="X72" s="200" t="s">
        <v>248</v>
      </c>
      <c r="Y72" s="202" t="s">
        <v>249</v>
      </c>
    </row>
    <row r="73" spans="1:25" s="4" customFormat="1" x14ac:dyDescent="0.25">
      <c r="A73" s="215">
        <v>72</v>
      </c>
      <c r="B73" s="203" t="s">
        <v>971</v>
      </c>
      <c r="C73" s="204" t="s">
        <v>72</v>
      </c>
      <c r="D73" s="203" t="s">
        <v>323</v>
      </c>
      <c r="E73" s="203" t="s">
        <v>241</v>
      </c>
      <c r="F73" s="203" t="s">
        <v>242</v>
      </c>
      <c r="G73" s="203" t="s">
        <v>243</v>
      </c>
      <c r="H73" s="203" t="s">
        <v>243</v>
      </c>
      <c r="I73" s="203" t="s">
        <v>243</v>
      </c>
      <c r="J73" s="203" t="s">
        <v>243</v>
      </c>
      <c r="K73" s="203" t="s">
        <v>243</v>
      </c>
      <c r="L73" s="203" t="s">
        <v>243</v>
      </c>
      <c r="M73" s="203" t="s">
        <v>243</v>
      </c>
      <c r="N73" s="203" t="s">
        <v>243</v>
      </c>
      <c r="O73" s="300">
        <v>20</v>
      </c>
      <c r="P73" s="300">
        <v>7</v>
      </c>
      <c r="Q73" s="300">
        <v>7</v>
      </c>
      <c r="R73" s="300">
        <v>7</v>
      </c>
      <c r="S73" s="300">
        <v>1</v>
      </c>
      <c r="T73" s="203" t="s">
        <v>244</v>
      </c>
      <c r="U73" s="203" t="s">
        <v>245</v>
      </c>
      <c r="V73" s="203" t="s">
        <v>339</v>
      </c>
      <c r="W73" s="203" t="s">
        <v>340</v>
      </c>
      <c r="X73" s="203" t="s">
        <v>219</v>
      </c>
      <c r="Y73" s="205" t="s">
        <v>341</v>
      </c>
    </row>
    <row r="74" spans="1:25" s="4" customFormat="1" ht="30" x14ac:dyDescent="0.25">
      <c r="A74" s="214">
        <v>73</v>
      </c>
      <c r="B74" s="200" t="s">
        <v>972</v>
      </c>
      <c r="C74" s="201" t="s">
        <v>73</v>
      </c>
      <c r="D74" s="200" t="s">
        <v>328</v>
      </c>
      <c r="E74" s="200" t="s">
        <v>241</v>
      </c>
      <c r="F74" s="200" t="s">
        <v>222</v>
      </c>
      <c r="G74" s="200" t="s">
        <v>243</v>
      </c>
      <c r="H74" s="200" t="s">
        <v>311</v>
      </c>
      <c r="I74" s="200" t="s">
        <v>337</v>
      </c>
      <c r="J74" s="200" t="s">
        <v>243</v>
      </c>
      <c r="K74" s="200" t="s">
        <v>243</v>
      </c>
      <c r="L74" s="200" t="s">
        <v>243</v>
      </c>
      <c r="M74" s="200" t="s">
        <v>243</v>
      </c>
      <c r="N74" s="200" t="s">
        <v>243</v>
      </c>
      <c r="O74" s="299">
        <v>7</v>
      </c>
      <c r="P74" s="299">
        <v>7</v>
      </c>
      <c r="Q74" s="299">
        <v>7</v>
      </c>
      <c r="R74" s="299">
        <v>7</v>
      </c>
      <c r="S74" s="299">
        <v>1</v>
      </c>
      <c r="T74" s="200" t="s">
        <v>244</v>
      </c>
      <c r="U74" s="200" t="s">
        <v>245</v>
      </c>
      <c r="V74" s="200" t="s">
        <v>246</v>
      </c>
      <c r="W74" s="200" t="s">
        <v>247</v>
      </c>
      <c r="X74" s="200" t="s">
        <v>248</v>
      </c>
      <c r="Y74" s="202" t="s">
        <v>342</v>
      </c>
    </row>
    <row r="75" spans="1:25" x14ac:dyDescent="0.25">
      <c r="A75" s="215">
        <v>74</v>
      </c>
      <c r="B75" s="203" t="s">
        <v>973</v>
      </c>
      <c r="C75" s="204" t="s">
        <v>74</v>
      </c>
      <c r="D75" s="203" t="s">
        <v>250</v>
      </c>
      <c r="E75" s="203" t="s">
        <v>251</v>
      </c>
      <c r="F75" s="203" t="s">
        <v>242</v>
      </c>
      <c r="G75" s="203" t="s">
        <v>243</v>
      </c>
      <c r="H75" s="203" t="s">
        <v>243</v>
      </c>
      <c r="I75" s="203" t="s">
        <v>243</v>
      </c>
      <c r="J75" s="203" t="s">
        <v>243</v>
      </c>
      <c r="K75" s="203" t="s">
        <v>243</v>
      </c>
      <c r="L75" s="203" t="s">
        <v>243</v>
      </c>
      <c r="M75" s="203" t="s">
        <v>243</v>
      </c>
      <c r="N75" s="203" t="s">
        <v>243</v>
      </c>
      <c r="O75" s="300">
        <v>15</v>
      </c>
      <c r="P75" s="300">
        <v>7</v>
      </c>
      <c r="Q75" s="300">
        <v>7</v>
      </c>
      <c r="R75" s="300">
        <v>7</v>
      </c>
      <c r="S75" s="300"/>
      <c r="T75" s="203" t="s">
        <v>244</v>
      </c>
      <c r="U75" s="203" t="s">
        <v>245</v>
      </c>
      <c r="V75" s="203" t="s">
        <v>246</v>
      </c>
      <c r="W75" s="203" t="s">
        <v>247</v>
      </c>
      <c r="X75" s="203" t="s">
        <v>248</v>
      </c>
      <c r="Y75" s="205" t="s">
        <v>249</v>
      </c>
    </row>
    <row r="76" spans="1:25" s="4" customFormat="1" x14ac:dyDescent="0.25">
      <c r="A76" s="214">
        <v>75</v>
      </c>
      <c r="B76" s="200" t="s">
        <v>974</v>
      </c>
      <c r="C76" s="201" t="s">
        <v>75</v>
      </c>
      <c r="D76" s="200" t="s">
        <v>328</v>
      </c>
      <c r="E76" s="200" t="s">
        <v>241</v>
      </c>
      <c r="F76" s="200" t="s">
        <v>242</v>
      </c>
      <c r="G76" s="200" t="s">
        <v>243</v>
      </c>
      <c r="H76" s="200" t="s">
        <v>289</v>
      </c>
      <c r="I76" s="200" t="s">
        <v>337</v>
      </c>
      <c r="J76" s="200" t="s">
        <v>243</v>
      </c>
      <c r="K76" s="200" t="s">
        <v>243</v>
      </c>
      <c r="L76" s="200" t="s">
        <v>243</v>
      </c>
      <c r="M76" s="200" t="s">
        <v>243</v>
      </c>
      <c r="N76" s="200" t="s">
        <v>243</v>
      </c>
      <c r="O76" s="299">
        <v>5</v>
      </c>
      <c r="P76" s="299">
        <v>5</v>
      </c>
      <c r="Q76" s="299">
        <v>5</v>
      </c>
      <c r="R76" s="299">
        <v>5</v>
      </c>
      <c r="S76" s="299">
        <v>1</v>
      </c>
      <c r="T76" s="200" t="s">
        <v>244</v>
      </c>
      <c r="U76" s="200" t="s">
        <v>245</v>
      </c>
      <c r="V76" s="200" t="s">
        <v>246</v>
      </c>
      <c r="W76" s="200" t="s">
        <v>247</v>
      </c>
      <c r="X76" s="200" t="s">
        <v>248</v>
      </c>
      <c r="Y76" s="202" t="s">
        <v>342</v>
      </c>
    </row>
    <row r="77" spans="1:25" s="4" customFormat="1" ht="45" x14ac:dyDescent="0.25">
      <c r="A77" s="215">
        <v>76</v>
      </c>
      <c r="B77" s="203" t="s">
        <v>975</v>
      </c>
      <c r="C77" s="204" t="s">
        <v>76</v>
      </c>
      <c r="D77" s="203" t="s">
        <v>336</v>
      </c>
      <c r="E77" s="203" t="s">
        <v>241</v>
      </c>
      <c r="F77" s="203" t="s">
        <v>242</v>
      </c>
      <c r="G77" s="203" t="s">
        <v>289</v>
      </c>
      <c r="H77" s="203" t="s">
        <v>311</v>
      </c>
      <c r="I77" s="203" t="s">
        <v>337</v>
      </c>
      <c r="J77" s="203" t="s">
        <v>243</v>
      </c>
      <c r="K77" s="203" t="s">
        <v>243</v>
      </c>
      <c r="L77" s="203" t="s">
        <v>243</v>
      </c>
      <c r="M77" s="203" t="s">
        <v>243</v>
      </c>
      <c r="N77" s="203" t="s">
        <v>243</v>
      </c>
      <c r="O77" s="300">
        <v>15</v>
      </c>
      <c r="P77" s="300">
        <v>7</v>
      </c>
      <c r="Q77" s="300">
        <v>7</v>
      </c>
      <c r="R77" s="300">
        <v>7</v>
      </c>
      <c r="S77" s="300">
        <v>3</v>
      </c>
      <c r="T77" s="203" t="s">
        <v>267</v>
      </c>
      <c r="U77" s="203" t="s">
        <v>321</v>
      </c>
      <c r="V77" s="203" t="s">
        <v>268</v>
      </c>
      <c r="W77" s="203" t="s">
        <v>256</v>
      </c>
      <c r="X77" s="203" t="s">
        <v>313</v>
      </c>
      <c r="Y77" s="205" t="s">
        <v>384</v>
      </c>
    </row>
    <row r="78" spans="1:25" x14ac:dyDescent="0.25">
      <c r="A78" s="214">
        <v>77</v>
      </c>
      <c r="B78" s="200" t="s">
        <v>976</v>
      </c>
      <c r="C78" s="201" t="s">
        <v>77</v>
      </c>
      <c r="D78" s="200" t="s">
        <v>250</v>
      </c>
      <c r="E78" s="200" t="s">
        <v>251</v>
      </c>
      <c r="F78" s="200" t="s">
        <v>242</v>
      </c>
      <c r="G78" s="200" t="s">
        <v>243</v>
      </c>
      <c r="H78" s="200" t="s">
        <v>243</v>
      </c>
      <c r="I78" s="200" t="s">
        <v>243</v>
      </c>
      <c r="J78" s="200" t="s">
        <v>243</v>
      </c>
      <c r="K78" s="200" t="s">
        <v>243</v>
      </c>
      <c r="L78" s="200" t="s">
        <v>243</v>
      </c>
      <c r="M78" s="200" t="s">
        <v>243</v>
      </c>
      <c r="N78" s="200" t="s">
        <v>243</v>
      </c>
      <c r="O78" s="299">
        <v>15</v>
      </c>
      <c r="P78" s="299">
        <v>7</v>
      </c>
      <c r="Q78" s="299">
        <v>7</v>
      </c>
      <c r="R78" s="299">
        <v>7</v>
      </c>
      <c r="S78" s="299"/>
      <c r="T78" s="200" t="s">
        <v>244</v>
      </c>
      <c r="U78" s="200" t="s">
        <v>245</v>
      </c>
      <c r="V78" s="200" t="s">
        <v>246</v>
      </c>
      <c r="W78" s="200" t="s">
        <v>247</v>
      </c>
      <c r="X78" s="200" t="s">
        <v>248</v>
      </c>
      <c r="Y78" s="202" t="s">
        <v>249</v>
      </c>
    </row>
    <row r="79" spans="1:25" x14ac:dyDescent="0.25">
      <c r="A79" s="215">
        <v>78</v>
      </c>
      <c r="B79" s="203" t="s">
        <v>977</v>
      </c>
      <c r="C79" s="204" t="s">
        <v>78</v>
      </c>
      <c r="D79" s="203" t="s">
        <v>250</v>
      </c>
      <c r="E79" s="203" t="s">
        <v>251</v>
      </c>
      <c r="F79" s="203" t="s">
        <v>242</v>
      </c>
      <c r="G79" s="203" t="s">
        <v>243</v>
      </c>
      <c r="H79" s="203" t="s">
        <v>243</v>
      </c>
      <c r="I79" s="203" t="s">
        <v>243</v>
      </c>
      <c r="J79" s="203" t="s">
        <v>243</v>
      </c>
      <c r="K79" s="203" t="s">
        <v>243</v>
      </c>
      <c r="L79" s="203" t="s">
        <v>243</v>
      </c>
      <c r="M79" s="203" t="s">
        <v>243</v>
      </c>
      <c r="N79" s="203" t="s">
        <v>243</v>
      </c>
      <c r="O79" s="300">
        <v>15</v>
      </c>
      <c r="P79" s="300">
        <v>7</v>
      </c>
      <c r="Q79" s="300">
        <v>7</v>
      </c>
      <c r="R79" s="300">
        <v>7</v>
      </c>
      <c r="S79" s="300"/>
      <c r="T79" s="203" t="s">
        <v>244</v>
      </c>
      <c r="U79" s="203" t="s">
        <v>245</v>
      </c>
      <c r="V79" s="203" t="s">
        <v>246</v>
      </c>
      <c r="W79" s="203" t="s">
        <v>247</v>
      </c>
      <c r="X79" s="203" t="s">
        <v>248</v>
      </c>
      <c r="Y79" s="205" t="s">
        <v>249</v>
      </c>
    </row>
    <row r="80" spans="1:25" ht="30" x14ac:dyDescent="0.25">
      <c r="A80" s="214">
        <v>79</v>
      </c>
      <c r="B80" s="200" t="s">
        <v>978</v>
      </c>
      <c r="C80" s="201" t="s">
        <v>79</v>
      </c>
      <c r="D80" s="200" t="s">
        <v>250</v>
      </c>
      <c r="E80" s="200" t="s">
        <v>251</v>
      </c>
      <c r="F80" s="200" t="s">
        <v>242</v>
      </c>
      <c r="G80" s="200" t="s">
        <v>243</v>
      </c>
      <c r="H80" s="200" t="s">
        <v>243</v>
      </c>
      <c r="I80" s="200" t="s">
        <v>243</v>
      </c>
      <c r="J80" s="200" t="s">
        <v>243</v>
      </c>
      <c r="K80" s="200" t="s">
        <v>243</v>
      </c>
      <c r="L80" s="200" t="s">
        <v>243</v>
      </c>
      <c r="M80" s="200" t="s">
        <v>243</v>
      </c>
      <c r="N80" s="200" t="s">
        <v>243</v>
      </c>
      <c r="O80" s="299">
        <v>15</v>
      </c>
      <c r="P80" s="299">
        <v>7</v>
      </c>
      <c r="Q80" s="299">
        <v>7</v>
      </c>
      <c r="R80" s="299">
        <v>7</v>
      </c>
      <c r="S80" s="299"/>
      <c r="T80" s="200" t="s">
        <v>244</v>
      </c>
      <c r="U80" s="200" t="s">
        <v>245</v>
      </c>
      <c r="V80" s="200" t="s">
        <v>246</v>
      </c>
      <c r="W80" s="200" t="s">
        <v>247</v>
      </c>
      <c r="X80" s="200" t="s">
        <v>248</v>
      </c>
      <c r="Y80" s="202" t="s">
        <v>249</v>
      </c>
    </row>
    <row r="81" spans="1:25" s="4" customFormat="1" ht="30" x14ac:dyDescent="0.25">
      <c r="A81" s="215">
        <v>80</v>
      </c>
      <c r="B81" s="203" t="s">
        <v>979</v>
      </c>
      <c r="C81" s="204" t="s">
        <v>80</v>
      </c>
      <c r="D81" s="203" t="s">
        <v>336</v>
      </c>
      <c r="E81" s="203" t="s">
        <v>241</v>
      </c>
      <c r="F81" s="203" t="s">
        <v>242</v>
      </c>
      <c r="G81" s="203" t="s">
        <v>289</v>
      </c>
      <c r="H81" s="203" t="s">
        <v>311</v>
      </c>
      <c r="I81" s="203" t="s">
        <v>243</v>
      </c>
      <c r="J81" s="203" t="s">
        <v>243</v>
      </c>
      <c r="K81" s="203" t="s">
        <v>243</v>
      </c>
      <c r="L81" s="203" t="s">
        <v>243</v>
      </c>
      <c r="M81" s="203" t="s">
        <v>243</v>
      </c>
      <c r="N81" s="203" t="s">
        <v>243</v>
      </c>
      <c r="O81" s="300">
        <v>20</v>
      </c>
      <c r="P81" s="300">
        <v>7</v>
      </c>
      <c r="Q81" s="300">
        <v>7</v>
      </c>
      <c r="R81" s="300">
        <v>7</v>
      </c>
      <c r="S81" s="300">
        <v>3</v>
      </c>
      <c r="T81" s="203" t="s">
        <v>267</v>
      </c>
      <c r="U81" s="203" t="s">
        <v>321</v>
      </c>
      <c r="V81" s="203" t="s">
        <v>268</v>
      </c>
      <c r="W81" s="203" t="s">
        <v>343</v>
      </c>
      <c r="X81" s="203" t="s">
        <v>313</v>
      </c>
      <c r="Y81" s="205" t="s">
        <v>387</v>
      </c>
    </row>
    <row r="82" spans="1:25" ht="30" x14ac:dyDescent="0.25">
      <c r="A82" s="214">
        <v>81</v>
      </c>
      <c r="B82" s="200" t="s">
        <v>980</v>
      </c>
      <c r="C82" s="201" t="s">
        <v>81</v>
      </c>
      <c r="D82" s="200" t="s">
        <v>250</v>
      </c>
      <c r="E82" s="200" t="s">
        <v>251</v>
      </c>
      <c r="F82" s="200" t="s">
        <v>242</v>
      </c>
      <c r="G82" s="200" t="s">
        <v>243</v>
      </c>
      <c r="H82" s="200" t="s">
        <v>243</v>
      </c>
      <c r="I82" s="200" t="s">
        <v>243</v>
      </c>
      <c r="J82" s="200" t="s">
        <v>243</v>
      </c>
      <c r="K82" s="200" t="s">
        <v>243</v>
      </c>
      <c r="L82" s="200" t="s">
        <v>243</v>
      </c>
      <c r="M82" s="200" t="s">
        <v>243</v>
      </c>
      <c r="N82" s="200" t="s">
        <v>243</v>
      </c>
      <c r="O82" s="299">
        <v>15</v>
      </c>
      <c r="P82" s="299">
        <v>7</v>
      </c>
      <c r="Q82" s="299">
        <v>7</v>
      </c>
      <c r="R82" s="299">
        <v>7</v>
      </c>
      <c r="S82" s="299"/>
      <c r="T82" s="200" t="s">
        <v>244</v>
      </c>
      <c r="U82" s="200" t="s">
        <v>245</v>
      </c>
      <c r="V82" s="200" t="s">
        <v>246</v>
      </c>
      <c r="W82" s="200" t="s">
        <v>247</v>
      </c>
      <c r="X82" s="200" t="s">
        <v>248</v>
      </c>
      <c r="Y82" s="202" t="s">
        <v>249</v>
      </c>
    </row>
    <row r="83" spans="1:25" x14ac:dyDescent="0.25">
      <c r="A83" s="215">
        <v>82</v>
      </c>
      <c r="B83" s="203" t="s">
        <v>981</v>
      </c>
      <c r="C83" s="204" t="s">
        <v>82</v>
      </c>
      <c r="D83" s="203" t="s">
        <v>250</v>
      </c>
      <c r="E83" s="203" t="s">
        <v>251</v>
      </c>
      <c r="F83" s="203" t="s">
        <v>242</v>
      </c>
      <c r="G83" s="203" t="s">
        <v>243</v>
      </c>
      <c r="H83" s="203" t="s">
        <v>243</v>
      </c>
      <c r="I83" s="203" t="s">
        <v>243</v>
      </c>
      <c r="J83" s="203" t="s">
        <v>243</v>
      </c>
      <c r="K83" s="203" t="s">
        <v>243</v>
      </c>
      <c r="L83" s="203" t="s">
        <v>243</v>
      </c>
      <c r="M83" s="203" t="s">
        <v>243</v>
      </c>
      <c r="N83" s="203" t="s">
        <v>243</v>
      </c>
      <c r="O83" s="300">
        <v>15</v>
      </c>
      <c r="P83" s="300">
        <v>7</v>
      </c>
      <c r="Q83" s="300">
        <v>7</v>
      </c>
      <c r="R83" s="300">
        <v>7</v>
      </c>
      <c r="S83" s="300"/>
      <c r="T83" s="203" t="s">
        <v>244</v>
      </c>
      <c r="U83" s="203" t="s">
        <v>245</v>
      </c>
      <c r="V83" s="203" t="s">
        <v>246</v>
      </c>
      <c r="W83" s="203" t="s">
        <v>247</v>
      </c>
      <c r="X83" s="203" t="s">
        <v>248</v>
      </c>
      <c r="Y83" s="205" t="s">
        <v>249</v>
      </c>
    </row>
    <row r="84" spans="1:25" s="4" customFormat="1" ht="45" x14ac:dyDescent="0.25">
      <c r="A84" s="214">
        <v>83</v>
      </c>
      <c r="B84" s="200" t="s">
        <v>982</v>
      </c>
      <c r="C84" s="201" t="s">
        <v>83</v>
      </c>
      <c r="D84" s="200" t="s">
        <v>344</v>
      </c>
      <c r="E84" s="200" t="s">
        <v>241</v>
      </c>
      <c r="F84" s="200" t="s">
        <v>242</v>
      </c>
      <c r="G84" s="200" t="s">
        <v>311</v>
      </c>
      <c r="H84" s="200" t="s">
        <v>311</v>
      </c>
      <c r="I84" s="200" t="s">
        <v>337</v>
      </c>
      <c r="J84" s="200" t="s">
        <v>243</v>
      </c>
      <c r="K84" s="200" t="s">
        <v>243</v>
      </c>
      <c r="L84" s="200" t="s">
        <v>243</v>
      </c>
      <c r="M84" s="200" t="s">
        <v>243</v>
      </c>
      <c r="N84" s="200" t="s">
        <v>243</v>
      </c>
      <c r="O84" s="299">
        <v>7</v>
      </c>
      <c r="P84" s="299">
        <v>7</v>
      </c>
      <c r="Q84" s="299">
        <v>15</v>
      </c>
      <c r="R84" s="299">
        <v>7</v>
      </c>
      <c r="S84" s="299">
        <v>2</v>
      </c>
      <c r="T84" s="200" t="s">
        <v>267</v>
      </c>
      <c r="U84" s="200" t="s">
        <v>321</v>
      </c>
      <c r="V84" s="200" t="s">
        <v>268</v>
      </c>
      <c r="W84" s="200" t="s">
        <v>345</v>
      </c>
      <c r="X84" s="200" t="s">
        <v>313</v>
      </c>
      <c r="Y84" s="202" t="s">
        <v>385</v>
      </c>
    </row>
    <row r="85" spans="1:25" ht="30" x14ac:dyDescent="0.25">
      <c r="A85" s="215">
        <v>84</v>
      </c>
      <c r="B85" s="203" t="s">
        <v>983</v>
      </c>
      <c r="C85" s="204" t="s">
        <v>84</v>
      </c>
      <c r="D85" s="203" t="s">
        <v>250</v>
      </c>
      <c r="E85" s="203" t="s">
        <v>251</v>
      </c>
      <c r="F85" s="203" t="s">
        <v>242</v>
      </c>
      <c r="G85" s="203" t="s">
        <v>243</v>
      </c>
      <c r="H85" s="203" t="s">
        <v>243</v>
      </c>
      <c r="I85" s="203" t="s">
        <v>243</v>
      </c>
      <c r="J85" s="203" t="s">
        <v>243</v>
      </c>
      <c r="K85" s="203" t="s">
        <v>243</v>
      </c>
      <c r="L85" s="203" t="s">
        <v>243</v>
      </c>
      <c r="M85" s="203" t="s">
        <v>243</v>
      </c>
      <c r="N85" s="203" t="s">
        <v>243</v>
      </c>
      <c r="O85" s="300">
        <v>15</v>
      </c>
      <c r="P85" s="300">
        <v>7</v>
      </c>
      <c r="Q85" s="300">
        <v>7</v>
      </c>
      <c r="R85" s="300">
        <v>7</v>
      </c>
      <c r="S85" s="300"/>
      <c r="T85" s="203" t="s">
        <v>244</v>
      </c>
      <c r="U85" s="203" t="s">
        <v>245</v>
      </c>
      <c r="V85" s="203" t="s">
        <v>246</v>
      </c>
      <c r="W85" s="203" t="s">
        <v>247</v>
      </c>
      <c r="X85" s="203" t="s">
        <v>248</v>
      </c>
      <c r="Y85" s="205" t="s">
        <v>249</v>
      </c>
    </row>
    <row r="86" spans="1:25" ht="30" x14ac:dyDescent="0.25">
      <c r="A86" s="214">
        <v>85</v>
      </c>
      <c r="B86" s="200" t="s">
        <v>984</v>
      </c>
      <c r="C86" s="201" t="s">
        <v>85</v>
      </c>
      <c r="D86" s="200" t="s">
        <v>250</v>
      </c>
      <c r="E86" s="200" t="s">
        <v>251</v>
      </c>
      <c r="F86" s="200" t="s">
        <v>242</v>
      </c>
      <c r="G86" s="200" t="s">
        <v>243</v>
      </c>
      <c r="H86" s="200" t="s">
        <v>243</v>
      </c>
      <c r="I86" s="200" t="s">
        <v>243</v>
      </c>
      <c r="J86" s="200" t="s">
        <v>243</v>
      </c>
      <c r="K86" s="200" t="s">
        <v>243</v>
      </c>
      <c r="L86" s="200" t="s">
        <v>243</v>
      </c>
      <c r="M86" s="200" t="s">
        <v>243</v>
      </c>
      <c r="N86" s="200" t="s">
        <v>243</v>
      </c>
      <c r="O86" s="299">
        <v>15</v>
      </c>
      <c r="P86" s="299">
        <v>7</v>
      </c>
      <c r="Q86" s="299">
        <v>7</v>
      </c>
      <c r="R86" s="299">
        <v>7</v>
      </c>
      <c r="S86" s="299"/>
      <c r="T86" s="200" t="s">
        <v>244</v>
      </c>
      <c r="U86" s="200" t="s">
        <v>245</v>
      </c>
      <c r="V86" s="200" t="s">
        <v>246</v>
      </c>
      <c r="W86" s="200" t="s">
        <v>247</v>
      </c>
      <c r="X86" s="200" t="s">
        <v>248</v>
      </c>
      <c r="Y86" s="202" t="s">
        <v>249</v>
      </c>
    </row>
    <row r="87" spans="1:25" ht="30" x14ac:dyDescent="0.25">
      <c r="A87" s="215">
        <v>86</v>
      </c>
      <c r="B87" s="203" t="s">
        <v>985</v>
      </c>
      <c r="C87" s="204" t="s">
        <v>86</v>
      </c>
      <c r="D87" s="203" t="s">
        <v>250</v>
      </c>
      <c r="E87" s="203" t="s">
        <v>251</v>
      </c>
      <c r="F87" s="203" t="s">
        <v>242</v>
      </c>
      <c r="G87" s="203" t="s">
        <v>243</v>
      </c>
      <c r="H87" s="203" t="s">
        <v>243</v>
      </c>
      <c r="I87" s="203" t="s">
        <v>243</v>
      </c>
      <c r="J87" s="203" t="s">
        <v>243</v>
      </c>
      <c r="K87" s="203" t="s">
        <v>243</v>
      </c>
      <c r="L87" s="203" t="s">
        <v>243</v>
      </c>
      <c r="M87" s="203" t="s">
        <v>243</v>
      </c>
      <c r="N87" s="203" t="s">
        <v>243</v>
      </c>
      <c r="O87" s="300">
        <v>15</v>
      </c>
      <c r="P87" s="300">
        <v>7</v>
      </c>
      <c r="Q87" s="300">
        <v>7</v>
      </c>
      <c r="R87" s="300">
        <v>7</v>
      </c>
      <c r="S87" s="300"/>
      <c r="T87" s="203" t="s">
        <v>244</v>
      </c>
      <c r="U87" s="203" t="s">
        <v>245</v>
      </c>
      <c r="V87" s="203" t="s">
        <v>246</v>
      </c>
      <c r="W87" s="203" t="s">
        <v>247</v>
      </c>
      <c r="X87" s="203" t="s">
        <v>248</v>
      </c>
      <c r="Y87" s="205" t="s">
        <v>249</v>
      </c>
    </row>
    <row r="88" spans="1:25" x14ac:dyDescent="0.25">
      <c r="A88" s="214">
        <v>87</v>
      </c>
      <c r="B88" s="200" t="s">
        <v>986</v>
      </c>
      <c r="C88" s="201" t="s">
        <v>87</v>
      </c>
      <c r="D88" s="200" t="s">
        <v>250</v>
      </c>
      <c r="E88" s="200" t="s">
        <v>251</v>
      </c>
      <c r="F88" s="200" t="s">
        <v>242</v>
      </c>
      <c r="G88" s="200" t="s">
        <v>243</v>
      </c>
      <c r="H88" s="200" t="s">
        <v>243</v>
      </c>
      <c r="I88" s="200" t="s">
        <v>243</v>
      </c>
      <c r="J88" s="200" t="s">
        <v>243</v>
      </c>
      <c r="K88" s="200" t="s">
        <v>243</v>
      </c>
      <c r="L88" s="200" t="s">
        <v>243</v>
      </c>
      <c r="M88" s="200" t="s">
        <v>243</v>
      </c>
      <c r="N88" s="200" t="s">
        <v>243</v>
      </c>
      <c r="O88" s="299">
        <v>15</v>
      </c>
      <c r="P88" s="299">
        <v>7</v>
      </c>
      <c r="Q88" s="299">
        <v>7</v>
      </c>
      <c r="R88" s="299">
        <v>7</v>
      </c>
      <c r="S88" s="299"/>
      <c r="T88" s="200" t="s">
        <v>244</v>
      </c>
      <c r="U88" s="200" t="s">
        <v>245</v>
      </c>
      <c r="V88" s="200" t="s">
        <v>246</v>
      </c>
      <c r="W88" s="200" t="s">
        <v>247</v>
      </c>
      <c r="X88" s="200" t="s">
        <v>248</v>
      </c>
      <c r="Y88" s="202" t="s">
        <v>249</v>
      </c>
    </row>
    <row r="89" spans="1:25" x14ac:dyDescent="0.25">
      <c r="A89" s="215">
        <v>88</v>
      </c>
      <c r="B89" s="203" t="s">
        <v>987</v>
      </c>
      <c r="C89" s="204" t="s">
        <v>88</v>
      </c>
      <c r="D89" s="203" t="s">
        <v>250</v>
      </c>
      <c r="E89" s="203" t="s">
        <v>251</v>
      </c>
      <c r="F89" s="203" t="s">
        <v>242</v>
      </c>
      <c r="G89" s="203" t="s">
        <v>243</v>
      </c>
      <c r="H89" s="203" t="s">
        <v>243</v>
      </c>
      <c r="I89" s="203" t="s">
        <v>243</v>
      </c>
      <c r="J89" s="203" t="s">
        <v>243</v>
      </c>
      <c r="K89" s="203" t="s">
        <v>243</v>
      </c>
      <c r="L89" s="203" t="s">
        <v>243</v>
      </c>
      <c r="M89" s="203" t="s">
        <v>243</v>
      </c>
      <c r="N89" s="203" t="s">
        <v>243</v>
      </c>
      <c r="O89" s="300">
        <v>15</v>
      </c>
      <c r="P89" s="300">
        <v>7</v>
      </c>
      <c r="Q89" s="300">
        <v>7</v>
      </c>
      <c r="R89" s="300">
        <v>7</v>
      </c>
      <c r="S89" s="300"/>
      <c r="T89" s="203" t="s">
        <v>244</v>
      </c>
      <c r="U89" s="203" t="s">
        <v>245</v>
      </c>
      <c r="V89" s="203" t="s">
        <v>246</v>
      </c>
      <c r="W89" s="203" t="s">
        <v>247</v>
      </c>
      <c r="X89" s="203" t="s">
        <v>248</v>
      </c>
      <c r="Y89" s="205" t="s">
        <v>249</v>
      </c>
    </row>
    <row r="90" spans="1:25" ht="30" x14ac:dyDescent="0.25">
      <c r="A90" s="214">
        <v>89</v>
      </c>
      <c r="B90" s="200" t="s">
        <v>988</v>
      </c>
      <c r="C90" s="201" t="s">
        <v>89</v>
      </c>
      <c r="D90" s="200" t="s">
        <v>250</v>
      </c>
      <c r="E90" s="200" t="s">
        <v>251</v>
      </c>
      <c r="F90" s="200" t="s">
        <v>242</v>
      </c>
      <c r="G90" s="200" t="s">
        <v>243</v>
      </c>
      <c r="H90" s="200" t="s">
        <v>243</v>
      </c>
      <c r="I90" s="200" t="s">
        <v>243</v>
      </c>
      <c r="J90" s="200" t="s">
        <v>243</v>
      </c>
      <c r="K90" s="200" t="s">
        <v>243</v>
      </c>
      <c r="L90" s="200" t="s">
        <v>243</v>
      </c>
      <c r="M90" s="200" t="s">
        <v>243</v>
      </c>
      <c r="N90" s="200" t="s">
        <v>243</v>
      </c>
      <c r="O90" s="299">
        <v>15</v>
      </c>
      <c r="P90" s="299">
        <v>7</v>
      </c>
      <c r="Q90" s="299">
        <v>7</v>
      </c>
      <c r="R90" s="299">
        <v>7</v>
      </c>
      <c r="S90" s="299"/>
      <c r="T90" s="200" t="s">
        <v>244</v>
      </c>
      <c r="U90" s="200" t="s">
        <v>245</v>
      </c>
      <c r="V90" s="200" t="s">
        <v>246</v>
      </c>
      <c r="W90" s="200" t="s">
        <v>247</v>
      </c>
      <c r="X90" s="200" t="s">
        <v>248</v>
      </c>
      <c r="Y90" s="202" t="s">
        <v>249</v>
      </c>
    </row>
    <row r="91" spans="1:25" ht="30" x14ac:dyDescent="0.25">
      <c r="A91" s="215">
        <v>90</v>
      </c>
      <c r="B91" s="203" t="s">
        <v>989</v>
      </c>
      <c r="C91" s="204" t="s">
        <v>90</v>
      </c>
      <c r="D91" s="203" t="s">
        <v>250</v>
      </c>
      <c r="E91" s="203" t="s">
        <v>251</v>
      </c>
      <c r="F91" s="203" t="s">
        <v>242</v>
      </c>
      <c r="G91" s="203" t="s">
        <v>243</v>
      </c>
      <c r="H91" s="203" t="s">
        <v>243</v>
      </c>
      <c r="I91" s="203" t="s">
        <v>243</v>
      </c>
      <c r="J91" s="203" t="s">
        <v>243</v>
      </c>
      <c r="K91" s="203" t="s">
        <v>243</v>
      </c>
      <c r="L91" s="203" t="s">
        <v>243</v>
      </c>
      <c r="M91" s="203" t="s">
        <v>243</v>
      </c>
      <c r="N91" s="203" t="s">
        <v>243</v>
      </c>
      <c r="O91" s="300">
        <v>15</v>
      </c>
      <c r="P91" s="300">
        <v>7</v>
      </c>
      <c r="Q91" s="300">
        <v>7</v>
      </c>
      <c r="R91" s="300">
        <v>7</v>
      </c>
      <c r="S91" s="300"/>
      <c r="T91" s="203" t="s">
        <v>244</v>
      </c>
      <c r="U91" s="203" t="s">
        <v>245</v>
      </c>
      <c r="V91" s="203" t="s">
        <v>246</v>
      </c>
      <c r="W91" s="203" t="s">
        <v>247</v>
      </c>
      <c r="X91" s="203" t="s">
        <v>248</v>
      </c>
      <c r="Y91" s="205" t="s">
        <v>249</v>
      </c>
    </row>
    <row r="92" spans="1:25" x14ac:dyDescent="0.25">
      <c r="A92" s="214">
        <v>91</v>
      </c>
      <c r="B92" s="200" t="s">
        <v>990</v>
      </c>
      <c r="C92" s="201" t="s">
        <v>91</v>
      </c>
      <c r="D92" s="200" t="s">
        <v>250</v>
      </c>
      <c r="E92" s="200" t="s">
        <v>251</v>
      </c>
      <c r="F92" s="200" t="s">
        <v>242</v>
      </c>
      <c r="G92" s="200" t="s">
        <v>243</v>
      </c>
      <c r="H92" s="200" t="s">
        <v>243</v>
      </c>
      <c r="I92" s="200" t="s">
        <v>243</v>
      </c>
      <c r="J92" s="200" t="s">
        <v>243</v>
      </c>
      <c r="K92" s="200" t="s">
        <v>243</v>
      </c>
      <c r="L92" s="200" t="s">
        <v>243</v>
      </c>
      <c r="M92" s="200" t="s">
        <v>243</v>
      </c>
      <c r="N92" s="200" t="s">
        <v>243</v>
      </c>
      <c r="O92" s="299">
        <v>15</v>
      </c>
      <c r="P92" s="299">
        <v>7</v>
      </c>
      <c r="Q92" s="299">
        <v>7</v>
      </c>
      <c r="R92" s="299">
        <v>7</v>
      </c>
      <c r="S92" s="299"/>
      <c r="T92" s="200" t="s">
        <v>244</v>
      </c>
      <c r="U92" s="200" t="s">
        <v>245</v>
      </c>
      <c r="V92" s="200" t="s">
        <v>246</v>
      </c>
      <c r="W92" s="200" t="s">
        <v>247</v>
      </c>
      <c r="X92" s="200" t="s">
        <v>248</v>
      </c>
      <c r="Y92" s="202" t="s">
        <v>249</v>
      </c>
    </row>
    <row r="93" spans="1:25" ht="30" x14ac:dyDescent="0.25">
      <c r="A93" s="215">
        <v>92</v>
      </c>
      <c r="B93" s="203" t="s">
        <v>991</v>
      </c>
      <c r="C93" s="204" t="s">
        <v>92</v>
      </c>
      <c r="D93" s="203" t="s">
        <v>250</v>
      </c>
      <c r="E93" s="203" t="s">
        <v>251</v>
      </c>
      <c r="F93" s="203" t="s">
        <v>242</v>
      </c>
      <c r="G93" s="203" t="s">
        <v>243</v>
      </c>
      <c r="H93" s="203" t="s">
        <v>243</v>
      </c>
      <c r="I93" s="203" t="s">
        <v>243</v>
      </c>
      <c r="J93" s="203" t="s">
        <v>243</v>
      </c>
      <c r="K93" s="203" t="s">
        <v>243</v>
      </c>
      <c r="L93" s="203" t="s">
        <v>243</v>
      </c>
      <c r="M93" s="203" t="s">
        <v>243</v>
      </c>
      <c r="N93" s="203" t="s">
        <v>243</v>
      </c>
      <c r="O93" s="300">
        <v>15</v>
      </c>
      <c r="P93" s="300">
        <v>7</v>
      </c>
      <c r="Q93" s="300">
        <v>7</v>
      </c>
      <c r="R93" s="300">
        <v>7</v>
      </c>
      <c r="S93" s="300"/>
      <c r="T93" s="203" t="s">
        <v>244</v>
      </c>
      <c r="U93" s="203" t="s">
        <v>245</v>
      </c>
      <c r="V93" s="203" t="s">
        <v>246</v>
      </c>
      <c r="W93" s="203" t="s">
        <v>247</v>
      </c>
      <c r="X93" s="203" t="s">
        <v>248</v>
      </c>
      <c r="Y93" s="205" t="s">
        <v>249</v>
      </c>
    </row>
    <row r="94" spans="1:25" ht="45" x14ac:dyDescent="0.25">
      <c r="A94" s="214">
        <v>93</v>
      </c>
      <c r="B94" s="200" t="s">
        <v>992</v>
      </c>
      <c r="C94" s="201" t="s">
        <v>93</v>
      </c>
      <c r="D94" s="200" t="s">
        <v>250</v>
      </c>
      <c r="E94" s="200" t="s">
        <v>251</v>
      </c>
      <c r="F94" s="200" t="s">
        <v>242</v>
      </c>
      <c r="G94" s="200" t="s">
        <v>243</v>
      </c>
      <c r="H94" s="200" t="s">
        <v>243</v>
      </c>
      <c r="I94" s="200" t="s">
        <v>243</v>
      </c>
      <c r="J94" s="200" t="s">
        <v>243</v>
      </c>
      <c r="K94" s="200" t="s">
        <v>243</v>
      </c>
      <c r="L94" s="200" t="s">
        <v>243</v>
      </c>
      <c r="M94" s="200" t="s">
        <v>243</v>
      </c>
      <c r="N94" s="200" t="s">
        <v>243</v>
      </c>
      <c r="O94" s="299">
        <v>15</v>
      </c>
      <c r="P94" s="299">
        <v>7</v>
      </c>
      <c r="Q94" s="299">
        <v>7</v>
      </c>
      <c r="R94" s="299">
        <v>7</v>
      </c>
      <c r="S94" s="299"/>
      <c r="T94" s="200" t="s">
        <v>244</v>
      </c>
      <c r="U94" s="200" t="s">
        <v>245</v>
      </c>
      <c r="V94" s="200" t="s">
        <v>246</v>
      </c>
      <c r="W94" s="200" t="s">
        <v>247</v>
      </c>
      <c r="X94" s="200" t="s">
        <v>248</v>
      </c>
      <c r="Y94" s="202" t="s">
        <v>249</v>
      </c>
    </row>
    <row r="95" spans="1:25" ht="30" x14ac:dyDescent="0.25">
      <c r="A95" s="215">
        <v>94</v>
      </c>
      <c r="B95" s="203" t="s">
        <v>993</v>
      </c>
      <c r="C95" s="204" t="s">
        <v>94</v>
      </c>
      <c r="D95" s="203" t="s">
        <v>250</v>
      </c>
      <c r="E95" s="203" t="s">
        <v>251</v>
      </c>
      <c r="F95" s="203" t="s">
        <v>242</v>
      </c>
      <c r="G95" s="203" t="s">
        <v>243</v>
      </c>
      <c r="H95" s="203" t="s">
        <v>243</v>
      </c>
      <c r="I95" s="203" t="s">
        <v>243</v>
      </c>
      <c r="J95" s="203" t="s">
        <v>243</v>
      </c>
      <c r="K95" s="203" t="s">
        <v>243</v>
      </c>
      <c r="L95" s="203" t="s">
        <v>243</v>
      </c>
      <c r="M95" s="203" t="s">
        <v>243</v>
      </c>
      <c r="N95" s="203" t="s">
        <v>243</v>
      </c>
      <c r="O95" s="300">
        <v>15</v>
      </c>
      <c r="P95" s="300">
        <v>7</v>
      </c>
      <c r="Q95" s="300">
        <v>7</v>
      </c>
      <c r="R95" s="300">
        <v>7</v>
      </c>
      <c r="S95" s="300"/>
      <c r="T95" s="203" t="s">
        <v>244</v>
      </c>
      <c r="U95" s="203" t="s">
        <v>245</v>
      </c>
      <c r="V95" s="203" t="s">
        <v>246</v>
      </c>
      <c r="W95" s="203" t="s">
        <v>247</v>
      </c>
      <c r="X95" s="203" t="s">
        <v>248</v>
      </c>
      <c r="Y95" s="205" t="s">
        <v>249</v>
      </c>
    </row>
    <row r="96" spans="1:25" x14ac:dyDescent="0.25">
      <c r="A96" s="214">
        <v>95</v>
      </c>
      <c r="B96" s="200" t="s">
        <v>994</v>
      </c>
      <c r="C96" s="201" t="s">
        <v>95</v>
      </c>
      <c r="D96" s="200" t="s">
        <v>250</v>
      </c>
      <c r="E96" s="200" t="s">
        <v>251</v>
      </c>
      <c r="F96" s="200" t="s">
        <v>242</v>
      </c>
      <c r="G96" s="200" t="s">
        <v>243</v>
      </c>
      <c r="H96" s="200" t="s">
        <v>243</v>
      </c>
      <c r="I96" s="200" t="s">
        <v>243</v>
      </c>
      <c r="J96" s="200" t="s">
        <v>243</v>
      </c>
      <c r="K96" s="200" t="s">
        <v>243</v>
      </c>
      <c r="L96" s="200" t="s">
        <v>243</v>
      </c>
      <c r="M96" s="200" t="s">
        <v>243</v>
      </c>
      <c r="N96" s="200" t="s">
        <v>243</v>
      </c>
      <c r="O96" s="299">
        <v>15</v>
      </c>
      <c r="P96" s="299">
        <v>7</v>
      </c>
      <c r="Q96" s="299">
        <v>7</v>
      </c>
      <c r="R96" s="299">
        <v>7</v>
      </c>
      <c r="S96" s="299"/>
      <c r="T96" s="200" t="s">
        <v>244</v>
      </c>
      <c r="U96" s="200" t="s">
        <v>245</v>
      </c>
      <c r="V96" s="200" t="s">
        <v>246</v>
      </c>
      <c r="W96" s="200" t="s">
        <v>247</v>
      </c>
      <c r="X96" s="200" t="s">
        <v>248</v>
      </c>
      <c r="Y96" s="202" t="s">
        <v>249</v>
      </c>
    </row>
    <row r="97" spans="1:25" ht="30" x14ac:dyDescent="0.25">
      <c r="A97" s="215">
        <v>96</v>
      </c>
      <c r="B97" s="203" t="s">
        <v>995</v>
      </c>
      <c r="C97" s="204" t="s">
        <v>96</v>
      </c>
      <c r="D97" s="203" t="s">
        <v>250</v>
      </c>
      <c r="E97" s="203" t="s">
        <v>251</v>
      </c>
      <c r="F97" s="203" t="s">
        <v>242</v>
      </c>
      <c r="G97" s="203" t="s">
        <v>243</v>
      </c>
      <c r="H97" s="203" t="s">
        <v>243</v>
      </c>
      <c r="I97" s="203" t="s">
        <v>243</v>
      </c>
      <c r="J97" s="203" t="s">
        <v>243</v>
      </c>
      <c r="K97" s="203" t="s">
        <v>243</v>
      </c>
      <c r="L97" s="203" t="s">
        <v>243</v>
      </c>
      <c r="M97" s="203" t="s">
        <v>243</v>
      </c>
      <c r="N97" s="203" t="s">
        <v>243</v>
      </c>
      <c r="O97" s="300">
        <v>15</v>
      </c>
      <c r="P97" s="300">
        <v>7</v>
      </c>
      <c r="Q97" s="300">
        <v>7</v>
      </c>
      <c r="R97" s="300">
        <v>7</v>
      </c>
      <c r="S97" s="300"/>
      <c r="T97" s="203" t="s">
        <v>244</v>
      </c>
      <c r="U97" s="203" t="s">
        <v>245</v>
      </c>
      <c r="V97" s="203" t="s">
        <v>246</v>
      </c>
      <c r="W97" s="203" t="s">
        <v>247</v>
      </c>
      <c r="X97" s="203" t="s">
        <v>248</v>
      </c>
      <c r="Y97" s="205" t="s">
        <v>249</v>
      </c>
    </row>
    <row r="98" spans="1:25" x14ac:dyDescent="0.25">
      <c r="A98" s="214">
        <v>97</v>
      </c>
      <c r="B98" s="200" t="s">
        <v>996</v>
      </c>
      <c r="C98" s="201" t="s">
        <v>97</v>
      </c>
      <c r="D98" s="200" t="s">
        <v>250</v>
      </c>
      <c r="E98" s="200" t="s">
        <v>251</v>
      </c>
      <c r="F98" s="200" t="s">
        <v>242</v>
      </c>
      <c r="G98" s="200" t="s">
        <v>243</v>
      </c>
      <c r="H98" s="200" t="s">
        <v>243</v>
      </c>
      <c r="I98" s="200" t="s">
        <v>243</v>
      </c>
      <c r="J98" s="200" t="s">
        <v>243</v>
      </c>
      <c r="K98" s="200" t="s">
        <v>243</v>
      </c>
      <c r="L98" s="200" t="s">
        <v>243</v>
      </c>
      <c r="M98" s="200" t="s">
        <v>243</v>
      </c>
      <c r="N98" s="200" t="s">
        <v>243</v>
      </c>
      <c r="O98" s="299">
        <v>15</v>
      </c>
      <c r="P98" s="299">
        <v>7</v>
      </c>
      <c r="Q98" s="299">
        <v>7</v>
      </c>
      <c r="R98" s="299">
        <v>7</v>
      </c>
      <c r="S98" s="299"/>
      <c r="T98" s="200" t="s">
        <v>244</v>
      </c>
      <c r="U98" s="200" t="s">
        <v>245</v>
      </c>
      <c r="V98" s="200" t="s">
        <v>246</v>
      </c>
      <c r="W98" s="200" t="s">
        <v>247</v>
      </c>
      <c r="X98" s="200" t="s">
        <v>248</v>
      </c>
      <c r="Y98" s="202" t="s">
        <v>249</v>
      </c>
    </row>
    <row r="99" spans="1:25" ht="30" x14ac:dyDescent="0.25">
      <c r="A99" s="215">
        <v>98</v>
      </c>
      <c r="B99" s="203" t="s">
        <v>997</v>
      </c>
      <c r="C99" s="204" t="s">
        <v>98</v>
      </c>
      <c r="D99" s="203" t="s">
        <v>250</v>
      </c>
      <c r="E99" s="203" t="s">
        <v>251</v>
      </c>
      <c r="F99" s="203" t="s">
        <v>242</v>
      </c>
      <c r="G99" s="203" t="s">
        <v>243</v>
      </c>
      <c r="H99" s="203" t="s">
        <v>243</v>
      </c>
      <c r="I99" s="203" t="s">
        <v>243</v>
      </c>
      <c r="J99" s="203" t="s">
        <v>243</v>
      </c>
      <c r="K99" s="203" t="s">
        <v>243</v>
      </c>
      <c r="L99" s="203" t="s">
        <v>243</v>
      </c>
      <c r="M99" s="203" t="s">
        <v>243</v>
      </c>
      <c r="N99" s="203" t="s">
        <v>243</v>
      </c>
      <c r="O99" s="300">
        <v>15</v>
      </c>
      <c r="P99" s="300">
        <v>7</v>
      </c>
      <c r="Q99" s="300">
        <v>7</v>
      </c>
      <c r="R99" s="300">
        <v>7</v>
      </c>
      <c r="S99" s="300"/>
      <c r="T99" s="203" t="s">
        <v>244</v>
      </c>
      <c r="U99" s="203" t="s">
        <v>245</v>
      </c>
      <c r="V99" s="203" t="s">
        <v>246</v>
      </c>
      <c r="W99" s="203" t="s">
        <v>247</v>
      </c>
      <c r="X99" s="203" t="s">
        <v>248</v>
      </c>
      <c r="Y99" s="205" t="s">
        <v>249</v>
      </c>
    </row>
    <row r="100" spans="1:25" s="4" customFormat="1" ht="30" x14ac:dyDescent="0.25">
      <c r="A100" s="214">
        <v>99</v>
      </c>
      <c r="B100" s="200" t="s">
        <v>998</v>
      </c>
      <c r="C100" s="201" t="s">
        <v>99</v>
      </c>
      <c r="D100" s="200" t="s">
        <v>323</v>
      </c>
      <c r="E100" s="200" t="s">
        <v>241</v>
      </c>
      <c r="F100" s="200" t="s">
        <v>242</v>
      </c>
      <c r="G100" s="200" t="s">
        <v>243</v>
      </c>
      <c r="H100" s="200" t="s">
        <v>243</v>
      </c>
      <c r="I100" s="200" t="s">
        <v>243</v>
      </c>
      <c r="J100" s="200" t="s">
        <v>243</v>
      </c>
      <c r="K100" s="200" t="s">
        <v>243</v>
      </c>
      <c r="L100" s="200" t="s">
        <v>243</v>
      </c>
      <c r="M100" s="200" t="s">
        <v>243</v>
      </c>
      <c r="N100" s="200" t="s">
        <v>290</v>
      </c>
      <c r="O100" s="299">
        <v>7</v>
      </c>
      <c r="P100" s="299">
        <v>7</v>
      </c>
      <c r="Q100" s="299"/>
      <c r="R100" s="299">
        <v>7</v>
      </c>
      <c r="S100" s="299">
        <v>1</v>
      </c>
      <c r="T100" s="200" t="s">
        <v>291</v>
      </c>
      <c r="U100" s="200" t="s">
        <v>346</v>
      </c>
      <c r="V100" s="200">
        <v>240</v>
      </c>
      <c r="W100" s="200" t="s">
        <v>347</v>
      </c>
      <c r="X100" s="200" t="s">
        <v>299</v>
      </c>
      <c r="Y100" s="202" t="s">
        <v>348</v>
      </c>
    </row>
    <row r="101" spans="1:25" x14ac:dyDescent="0.25">
      <c r="A101" s="215">
        <v>100</v>
      </c>
      <c r="B101" s="203" t="s">
        <v>999</v>
      </c>
      <c r="C101" s="204" t="s">
        <v>100</v>
      </c>
      <c r="D101" s="203" t="s">
        <v>250</v>
      </c>
      <c r="E101" s="203" t="s">
        <v>251</v>
      </c>
      <c r="F101" s="203" t="s">
        <v>242</v>
      </c>
      <c r="G101" s="203" t="s">
        <v>243</v>
      </c>
      <c r="H101" s="203" t="s">
        <v>243</v>
      </c>
      <c r="I101" s="203" t="s">
        <v>243</v>
      </c>
      <c r="J101" s="203" t="s">
        <v>243</v>
      </c>
      <c r="K101" s="203" t="s">
        <v>243</v>
      </c>
      <c r="L101" s="203" t="s">
        <v>243</v>
      </c>
      <c r="M101" s="203" t="s">
        <v>243</v>
      </c>
      <c r="N101" s="203" t="s">
        <v>243</v>
      </c>
      <c r="O101" s="300">
        <v>15</v>
      </c>
      <c r="P101" s="300">
        <v>7</v>
      </c>
      <c r="Q101" s="300">
        <v>7</v>
      </c>
      <c r="R101" s="300">
        <v>7</v>
      </c>
      <c r="S101" s="300"/>
      <c r="T101" s="203" t="s">
        <v>244</v>
      </c>
      <c r="U101" s="203" t="s">
        <v>245</v>
      </c>
      <c r="V101" s="203" t="s">
        <v>246</v>
      </c>
      <c r="W101" s="203" t="s">
        <v>247</v>
      </c>
      <c r="X101" s="203" t="s">
        <v>248</v>
      </c>
      <c r="Y101" s="205" t="s">
        <v>249</v>
      </c>
    </row>
    <row r="102" spans="1:25" ht="30" x14ac:dyDescent="0.25">
      <c r="A102" s="214">
        <v>101</v>
      </c>
      <c r="B102" s="200" t="s">
        <v>1000</v>
      </c>
      <c r="C102" s="201" t="s">
        <v>101</v>
      </c>
      <c r="D102" s="200" t="s">
        <v>250</v>
      </c>
      <c r="E102" s="200" t="s">
        <v>251</v>
      </c>
      <c r="F102" s="200" t="s">
        <v>242</v>
      </c>
      <c r="G102" s="200" t="s">
        <v>243</v>
      </c>
      <c r="H102" s="200" t="s">
        <v>243</v>
      </c>
      <c r="I102" s="200" t="s">
        <v>243</v>
      </c>
      <c r="J102" s="200" t="s">
        <v>243</v>
      </c>
      <c r="K102" s="200" t="s">
        <v>243</v>
      </c>
      <c r="L102" s="200" t="s">
        <v>243</v>
      </c>
      <c r="M102" s="200" t="s">
        <v>243</v>
      </c>
      <c r="N102" s="200" t="s">
        <v>243</v>
      </c>
      <c r="O102" s="299">
        <v>15</v>
      </c>
      <c r="P102" s="299">
        <v>7</v>
      </c>
      <c r="Q102" s="299">
        <v>7</v>
      </c>
      <c r="R102" s="299">
        <v>7</v>
      </c>
      <c r="S102" s="299"/>
      <c r="T102" s="200" t="s">
        <v>244</v>
      </c>
      <c r="U102" s="200" t="s">
        <v>245</v>
      </c>
      <c r="V102" s="200" t="s">
        <v>246</v>
      </c>
      <c r="W102" s="200" t="s">
        <v>247</v>
      </c>
      <c r="X102" s="200" t="s">
        <v>248</v>
      </c>
      <c r="Y102" s="202" t="s">
        <v>249</v>
      </c>
    </row>
    <row r="103" spans="1:25" s="4" customFormat="1" x14ac:dyDescent="0.25">
      <c r="A103" s="215">
        <v>102</v>
      </c>
      <c r="B103" s="203" t="s">
        <v>1001</v>
      </c>
      <c r="C103" s="204" t="s">
        <v>102</v>
      </c>
      <c r="D103" s="203" t="s">
        <v>328</v>
      </c>
      <c r="E103" s="203" t="s">
        <v>241</v>
      </c>
      <c r="F103" s="203" t="s">
        <v>222</v>
      </c>
      <c r="G103" s="203" t="s">
        <v>289</v>
      </c>
      <c r="H103" s="203" t="s">
        <v>289</v>
      </c>
      <c r="I103" s="203" t="s">
        <v>243</v>
      </c>
      <c r="J103" s="203" t="s">
        <v>243</v>
      </c>
      <c r="K103" s="203" t="s">
        <v>243</v>
      </c>
      <c r="L103" s="203" t="s">
        <v>243</v>
      </c>
      <c r="M103" s="203" t="s">
        <v>243</v>
      </c>
      <c r="N103" s="203" t="s">
        <v>243</v>
      </c>
      <c r="O103" s="300">
        <v>20</v>
      </c>
      <c r="P103" s="300">
        <v>6</v>
      </c>
      <c r="Q103" s="300">
        <v>7</v>
      </c>
      <c r="R103" s="300">
        <v>7</v>
      </c>
      <c r="S103" s="300">
        <v>1</v>
      </c>
      <c r="T103" s="203" t="s">
        <v>244</v>
      </c>
      <c r="U103" s="203" t="s">
        <v>245</v>
      </c>
      <c r="V103" s="203" t="s">
        <v>246</v>
      </c>
      <c r="W103" s="203" t="s">
        <v>349</v>
      </c>
      <c r="X103" s="203" t="s">
        <v>248</v>
      </c>
      <c r="Y103" s="205" t="s">
        <v>249</v>
      </c>
    </row>
    <row r="104" spans="1:25" x14ac:dyDescent="0.25">
      <c r="A104" s="214">
        <v>103</v>
      </c>
      <c r="B104" s="200" t="s">
        <v>1002</v>
      </c>
      <c r="C104" s="201" t="s">
        <v>103</v>
      </c>
      <c r="D104" s="200" t="s">
        <v>250</v>
      </c>
      <c r="E104" s="200" t="s">
        <v>251</v>
      </c>
      <c r="F104" s="200" t="s">
        <v>242</v>
      </c>
      <c r="G104" s="200" t="s">
        <v>243</v>
      </c>
      <c r="H104" s="200" t="s">
        <v>243</v>
      </c>
      <c r="I104" s="200" t="s">
        <v>243</v>
      </c>
      <c r="J104" s="200" t="s">
        <v>243</v>
      </c>
      <c r="K104" s="200" t="s">
        <v>243</v>
      </c>
      <c r="L104" s="200" t="s">
        <v>243</v>
      </c>
      <c r="M104" s="200" t="s">
        <v>243</v>
      </c>
      <c r="N104" s="200" t="s">
        <v>243</v>
      </c>
      <c r="O104" s="299">
        <v>15</v>
      </c>
      <c r="P104" s="299">
        <v>7</v>
      </c>
      <c r="Q104" s="299">
        <v>7</v>
      </c>
      <c r="R104" s="299">
        <v>7</v>
      </c>
      <c r="S104" s="299"/>
      <c r="T104" s="200" t="s">
        <v>244</v>
      </c>
      <c r="U104" s="200" t="s">
        <v>245</v>
      </c>
      <c r="V104" s="200" t="s">
        <v>246</v>
      </c>
      <c r="W104" s="200" t="s">
        <v>247</v>
      </c>
      <c r="X104" s="200" t="s">
        <v>248</v>
      </c>
      <c r="Y104" s="202" t="s">
        <v>249</v>
      </c>
    </row>
    <row r="105" spans="1:25" ht="45" x14ac:dyDescent="0.25">
      <c r="A105" s="215">
        <v>104</v>
      </c>
      <c r="B105" s="203" t="s">
        <v>1003</v>
      </c>
      <c r="C105" s="204" t="s">
        <v>104</v>
      </c>
      <c r="D105" s="203" t="s">
        <v>250</v>
      </c>
      <c r="E105" s="203" t="s">
        <v>251</v>
      </c>
      <c r="F105" s="203" t="s">
        <v>242</v>
      </c>
      <c r="G105" s="203" t="s">
        <v>243</v>
      </c>
      <c r="H105" s="203" t="s">
        <v>243</v>
      </c>
      <c r="I105" s="203" t="s">
        <v>243</v>
      </c>
      <c r="J105" s="203" t="s">
        <v>243</v>
      </c>
      <c r="K105" s="203" t="s">
        <v>243</v>
      </c>
      <c r="L105" s="203" t="s">
        <v>243</v>
      </c>
      <c r="M105" s="203" t="s">
        <v>243</v>
      </c>
      <c r="N105" s="203" t="s">
        <v>243</v>
      </c>
      <c r="O105" s="300">
        <v>15</v>
      </c>
      <c r="P105" s="300">
        <v>7</v>
      </c>
      <c r="Q105" s="300">
        <v>7</v>
      </c>
      <c r="R105" s="300">
        <v>7</v>
      </c>
      <c r="S105" s="300"/>
      <c r="T105" s="203" t="s">
        <v>244</v>
      </c>
      <c r="U105" s="203" t="s">
        <v>245</v>
      </c>
      <c r="V105" s="203" t="s">
        <v>246</v>
      </c>
      <c r="W105" s="203" t="s">
        <v>247</v>
      </c>
      <c r="X105" s="203" t="s">
        <v>248</v>
      </c>
      <c r="Y105" s="205" t="s">
        <v>249</v>
      </c>
    </row>
    <row r="106" spans="1:25" ht="30" x14ac:dyDescent="0.25">
      <c r="A106" s="214">
        <v>105</v>
      </c>
      <c r="B106" s="200" t="s">
        <v>1004</v>
      </c>
      <c r="C106" s="201" t="s">
        <v>105</v>
      </c>
      <c r="D106" s="200" t="s">
        <v>250</v>
      </c>
      <c r="E106" s="200" t="s">
        <v>251</v>
      </c>
      <c r="F106" s="200" t="s">
        <v>242</v>
      </c>
      <c r="G106" s="200" t="s">
        <v>243</v>
      </c>
      <c r="H106" s="200" t="s">
        <v>243</v>
      </c>
      <c r="I106" s="200" t="s">
        <v>243</v>
      </c>
      <c r="J106" s="200" t="s">
        <v>243</v>
      </c>
      <c r="K106" s="200" t="s">
        <v>243</v>
      </c>
      <c r="L106" s="200" t="s">
        <v>243</v>
      </c>
      <c r="M106" s="200" t="s">
        <v>243</v>
      </c>
      <c r="N106" s="200" t="s">
        <v>243</v>
      </c>
      <c r="O106" s="299">
        <v>15</v>
      </c>
      <c r="P106" s="299">
        <v>7</v>
      </c>
      <c r="Q106" s="299">
        <v>7</v>
      </c>
      <c r="R106" s="299">
        <v>7</v>
      </c>
      <c r="S106" s="299"/>
      <c r="T106" s="200" t="s">
        <v>244</v>
      </c>
      <c r="U106" s="200" t="s">
        <v>245</v>
      </c>
      <c r="V106" s="200" t="s">
        <v>246</v>
      </c>
      <c r="W106" s="200" t="s">
        <v>247</v>
      </c>
      <c r="X106" s="200" t="s">
        <v>248</v>
      </c>
      <c r="Y106" s="202" t="s">
        <v>249</v>
      </c>
    </row>
    <row r="107" spans="1:25" ht="30" x14ac:dyDescent="0.25">
      <c r="A107" s="215">
        <v>106</v>
      </c>
      <c r="B107" s="203" t="s">
        <v>1005</v>
      </c>
      <c r="C107" s="204" t="s">
        <v>106</v>
      </c>
      <c r="D107" s="203" t="s">
        <v>250</v>
      </c>
      <c r="E107" s="203" t="s">
        <v>251</v>
      </c>
      <c r="F107" s="203" t="s">
        <v>242</v>
      </c>
      <c r="G107" s="203" t="s">
        <v>243</v>
      </c>
      <c r="H107" s="203" t="s">
        <v>243</v>
      </c>
      <c r="I107" s="203" t="s">
        <v>243</v>
      </c>
      <c r="J107" s="203" t="s">
        <v>243</v>
      </c>
      <c r="K107" s="203" t="s">
        <v>243</v>
      </c>
      <c r="L107" s="203" t="s">
        <v>243</v>
      </c>
      <c r="M107" s="203" t="s">
        <v>243</v>
      </c>
      <c r="N107" s="203" t="s">
        <v>243</v>
      </c>
      <c r="O107" s="300">
        <v>15</v>
      </c>
      <c r="P107" s="300">
        <v>7</v>
      </c>
      <c r="Q107" s="300">
        <v>7</v>
      </c>
      <c r="R107" s="300">
        <v>7</v>
      </c>
      <c r="S107" s="300"/>
      <c r="T107" s="203" t="s">
        <v>244</v>
      </c>
      <c r="U107" s="203" t="s">
        <v>245</v>
      </c>
      <c r="V107" s="203" t="s">
        <v>246</v>
      </c>
      <c r="W107" s="203" t="s">
        <v>247</v>
      </c>
      <c r="X107" s="203" t="s">
        <v>248</v>
      </c>
      <c r="Y107" s="205" t="s">
        <v>249</v>
      </c>
    </row>
    <row r="108" spans="1:25" ht="30" x14ac:dyDescent="0.25">
      <c r="A108" s="214">
        <v>107</v>
      </c>
      <c r="B108" s="200" t="s">
        <v>1006</v>
      </c>
      <c r="C108" s="201" t="s">
        <v>107</v>
      </c>
      <c r="D108" s="200" t="s">
        <v>250</v>
      </c>
      <c r="E108" s="200" t="s">
        <v>251</v>
      </c>
      <c r="F108" s="200" t="s">
        <v>242</v>
      </c>
      <c r="G108" s="200" t="s">
        <v>243</v>
      </c>
      <c r="H108" s="200" t="s">
        <v>243</v>
      </c>
      <c r="I108" s="200" t="s">
        <v>243</v>
      </c>
      <c r="J108" s="200" t="s">
        <v>243</v>
      </c>
      <c r="K108" s="200" t="s">
        <v>243</v>
      </c>
      <c r="L108" s="200" t="s">
        <v>243</v>
      </c>
      <c r="M108" s="200" t="s">
        <v>243</v>
      </c>
      <c r="N108" s="200" t="s">
        <v>243</v>
      </c>
      <c r="O108" s="299">
        <v>15</v>
      </c>
      <c r="P108" s="299">
        <v>7</v>
      </c>
      <c r="Q108" s="299">
        <v>7</v>
      </c>
      <c r="R108" s="299">
        <v>7</v>
      </c>
      <c r="S108" s="299"/>
      <c r="T108" s="200" t="s">
        <v>244</v>
      </c>
      <c r="U108" s="200" t="s">
        <v>245</v>
      </c>
      <c r="V108" s="200" t="s">
        <v>246</v>
      </c>
      <c r="W108" s="200" t="s">
        <v>247</v>
      </c>
      <c r="X108" s="200" t="s">
        <v>248</v>
      </c>
      <c r="Y108" s="202" t="s">
        <v>249</v>
      </c>
    </row>
    <row r="109" spans="1:25" s="4" customFormat="1" ht="30" x14ac:dyDescent="0.25">
      <c r="A109" s="215">
        <v>108</v>
      </c>
      <c r="B109" s="203" t="s">
        <v>1007</v>
      </c>
      <c r="C109" s="204" t="s">
        <v>108</v>
      </c>
      <c r="D109" s="203" t="s">
        <v>350</v>
      </c>
      <c r="E109" s="203" t="s">
        <v>241</v>
      </c>
      <c r="F109" s="203" t="s">
        <v>242</v>
      </c>
      <c r="G109" s="203" t="s">
        <v>243</v>
      </c>
      <c r="H109" s="203" t="s">
        <v>243</v>
      </c>
      <c r="I109" s="203" t="s">
        <v>243</v>
      </c>
      <c r="J109" s="203" t="s">
        <v>243</v>
      </c>
      <c r="K109" s="203" t="s">
        <v>243</v>
      </c>
      <c r="L109" s="203" t="s">
        <v>243</v>
      </c>
      <c r="M109" s="203" t="s">
        <v>243</v>
      </c>
      <c r="N109" s="203" t="s">
        <v>243</v>
      </c>
      <c r="O109" s="300">
        <v>5</v>
      </c>
      <c r="P109" s="300">
        <v>5</v>
      </c>
      <c r="Q109" s="300">
        <v>5</v>
      </c>
      <c r="R109" s="300">
        <v>5</v>
      </c>
      <c r="S109" s="300">
        <v>1</v>
      </c>
      <c r="T109" s="203" t="s">
        <v>351</v>
      </c>
      <c r="U109" s="203" t="s">
        <v>245</v>
      </c>
      <c r="V109" s="203" t="s">
        <v>246</v>
      </c>
      <c r="W109" s="203" t="s">
        <v>352</v>
      </c>
      <c r="X109" s="203" t="s">
        <v>248</v>
      </c>
      <c r="Y109" s="205"/>
    </row>
    <row r="110" spans="1:25" ht="30" x14ac:dyDescent="0.25">
      <c r="A110" s="214">
        <v>109</v>
      </c>
      <c r="B110" s="200" t="s">
        <v>1008</v>
      </c>
      <c r="C110" s="201" t="s">
        <v>109</v>
      </c>
      <c r="D110" s="200" t="s">
        <v>250</v>
      </c>
      <c r="E110" s="200" t="s">
        <v>251</v>
      </c>
      <c r="F110" s="200" t="s">
        <v>242</v>
      </c>
      <c r="G110" s="200" t="s">
        <v>243</v>
      </c>
      <c r="H110" s="200" t="s">
        <v>243</v>
      </c>
      <c r="I110" s="200" t="s">
        <v>243</v>
      </c>
      <c r="J110" s="200" t="s">
        <v>243</v>
      </c>
      <c r="K110" s="200" t="s">
        <v>243</v>
      </c>
      <c r="L110" s="200" t="s">
        <v>243</v>
      </c>
      <c r="M110" s="200" t="s">
        <v>243</v>
      </c>
      <c r="N110" s="200" t="s">
        <v>243</v>
      </c>
      <c r="O110" s="299">
        <v>15</v>
      </c>
      <c r="P110" s="299">
        <v>7</v>
      </c>
      <c r="Q110" s="299">
        <v>7</v>
      </c>
      <c r="R110" s="299">
        <v>7</v>
      </c>
      <c r="S110" s="299"/>
      <c r="T110" s="200" t="s">
        <v>244</v>
      </c>
      <c r="U110" s="200" t="s">
        <v>245</v>
      </c>
      <c r="V110" s="200" t="s">
        <v>246</v>
      </c>
      <c r="W110" s="200" t="s">
        <v>247</v>
      </c>
      <c r="X110" s="200" t="s">
        <v>248</v>
      </c>
      <c r="Y110" s="202" t="s">
        <v>249</v>
      </c>
    </row>
    <row r="111" spans="1:25" ht="30" x14ac:dyDescent="0.25">
      <c r="A111" s="215">
        <v>110</v>
      </c>
      <c r="B111" s="203" t="s">
        <v>1009</v>
      </c>
      <c r="C111" s="204" t="s">
        <v>110</v>
      </c>
      <c r="D111" s="203" t="s">
        <v>250</v>
      </c>
      <c r="E111" s="203" t="s">
        <v>251</v>
      </c>
      <c r="F111" s="203" t="s">
        <v>242</v>
      </c>
      <c r="G111" s="203" t="s">
        <v>243</v>
      </c>
      <c r="H111" s="203" t="s">
        <v>243</v>
      </c>
      <c r="I111" s="203" t="s">
        <v>243</v>
      </c>
      <c r="J111" s="203" t="s">
        <v>243</v>
      </c>
      <c r="K111" s="203" t="s">
        <v>243</v>
      </c>
      <c r="L111" s="203" t="s">
        <v>243</v>
      </c>
      <c r="M111" s="203" t="s">
        <v>243</v>
      </c>
      <c r="N111" s="203" t="s">
        <v>243</v>
      </c>
      <c r="O111" s="300">
        <v>15</v>
      </c>
      <c r="P111" s="300">
        <v>7</v>
      </c>
      <c r="Q111" s="300">
        <v>7</v>
      </c>
      <c r="R111" s="300">
        <v>7</v>
      </c>
      <c r="S111" s="300"/>
      <c r="T111" s="203" t="s">
        <v>244</v>
      </c>
      <c r="U111" s="203" t="s">
        <v>245</v>
      </c>
      <c r="V111" s="203" t="s">
        <v>246</v>
      </c>
      <c r="W111" s="203" t="s">
        <v>247</v>
      </c>
      <c r="X111" s="203" t="s">
        <v>248</v>
      </c>
      <c r="Y111" s="205" t="s">
        <v>249</v>
      </c>
    </row>
    <row r="112" spans="1:25" x14ac:dyDescent="0.25">
      <c r="A112" s="214">
        <v>111</v>
      </c>
      <c r="B112" s="200" t="s">
        <v>1010</v>
      </c>
      <c r="C112" s="201" t="s">
        <v>111</v>
      </c>
      <c r="D112" s="200" t="s">
        <v>250</v>
      </c>
      <c r="E112" s="200" t="s">
        <v>251</v>
      </c>
      <c r="F112" s="200" t="s">
        <v>242</v>
      </c>
      <c r="G112" s="200" t="s">
        <v>243</v>
      </c>
      <c r="H112" s="200" t="s">
        <v>243</v>
      </c>
      <c r="I112" s="200" t="s">
        <v>243</v>
      </c>
      <c r="J112" s="200" t="s">
        <v>243</v>
      </c>
      <c r="K112" s="200" t="s">
        <v>243</v>
      </c>
      <c r="L112" s="200" t="s">
        <v>243</v>
      </c>
      <c r="M112" s="200" t="s">
        <v>243</v>
      </c>
      <c r="N112" s="200" t="s">
        <v>243</v>
      </c>
      <c r="O112" s="299">
        <v>15</v>
      </c>
      <c r="P112" s="299">
        <v>7</v>
      </c>
      <c r="Q112" s="299">
        <v>7</v>
      </c>
      <c r="R112" s="299">
        <v>7</v>
      </c>
      <c r="S112" s="299"/>
      <c r="T112" s="200" t="s">
        <v>244</v>
      </c>
      <c r="U112" s="200" t="s">
        <v>245</v>
      </c>
      <c r="V112" s="200" t="s">
        <v>246</v>
      </c>
      <c r="W112" s="200" t="s">
        <v>247</v>
      </c>
      <c r="X112" s="200" t="s">
        <v>248</v>
      </c>
      <c r="Y112" s="202" t="s">
        <v>249</v>
      </c>
    </row>
    <row r="113" spans="1:25" ht="30" x14ac:dyDescent="0.25">
      <c r="A113" s="215">
        <v>112</v>
      </c>
      <c r="B113" s="203" t="s">
        <v>1011</v>
      </c>
      <c r="C113" s="204" t="s">
        <v>112</v>
      </c>
      <c r="D113" s="203" t="s">
        <v>250</v>
      </c>
      <c r="E113" s="203" t="s">
        <v>251</v>
      </c>
      <c r="F113" s="203" t="s">
        <v>242</v>
      </c>
      <c r="G113" s="203" t="s">
        <v>243</v>
      </c>
      <c r="H113" s="203" t="s">
        <v>243</v>
      </c>
      <c r="I113" s="203" t="s">
        <v>243</v>
      </c>
      <c r="J113" s="203" t="s">
        <v>243</v>
      </c>
      <c r="K113" s="203" t="s">
        <v>243</v>
      </c>
      <c r="L113" s="203" t="s">
        <v>243</v>
      </c>
      <c r="M113" s="203" t="s">
        <v>243</v>
      </c>
      <c r="N113" s="203" t="s">
        <v>243</v>
      </c>
      <c r="O113" s="300">
        <v>15</v>
      </c>
      <c r="P113" s="300">
        <v>7</v>
      </c>
      <c r="Q113" s="300">
        <v>7</v>
      </c>
      <c r="R113" s="300">
        <v>7</v>
      </c>
      <c r="S113" s="300"/>
      <c r="T113" s="203" t="s">
        <v>244</v>
      </c>
      <c r="U113" s="203" t="s">
        <v>245</v>
      </c>
      <c r="V113" s="203" t="s">
        <v>246</v>
      </c>
      <c r="W113" s="203" t="s">
        <v>247</v>
      </c>
      <c r="X113" s="203" t="s">
        <v>248</v>
      </c>
      <c r="Y113" s="205" t="s">
        <v>249</v>
      </c>
    </row>
    <row r="114" spans="1:25" x14ac:dyDescent="0.25">
      <c r="A114" s="214">
        <v>113</v>
      </c>
      <c r="B114" s="200" t="s">
        <v>1012</v>
      </c>
      <c r="C114" s="201" t="s">
        <v>113</v>
      </c>
      <c r="D114" s="200" t="s">
        <v>250</v>
      </c>
      <c r="E114" s="200" t="s">
        <v>251</v>
      </c>
      <c r="F114" s="200" t="s">
        <v>242</v>
      </c>
      <c r="G114" s="200" t="s">
        <v>243</v>
      </c>
      <c r="H114" s="200" t="s">
        <v>243</v>
      </c>
      <c r="I114" s="200" t="s">
        <v>243</v>
      </c>
      <c r="J114" s="200" t="s">
        <v>243</v>
      </c>
      <c r="K114" s="200" t="s">
        <v>243</v>
      </c>
      <c r="L114" s="200" t="s">
        <v>243</v>
      </c>
      <c r="M114" s="200" t="s">
        <v>243</v>
      </c>
      <c r="N114" s="200" t="s">
        <v>243</v>
      </c>
      <c r="O114" s="299">
        <v>15</v>
      </c>
      <c r="P114" s="299">
        <v>7</v>
      </c>
      <c r="Q114" s="299">
        <v>7</v>
      </c>
      <c r="R114" s="299">
        <v>7</v>
      </c>
      <c r="S114" s="299"/>
      <c r="T114" s="200" t="s">
        <v>244</v>
      </c>
      <c r="U114" s="200" t="s">
        <v>245</v>
      </c>
      <c r="V114" s="200" t="s">
        <v>246</v>
      </c>
      <c r="W114" s="200" t="s">
        <v>247</v>
      </c>
      <c r="X114" s="200" t="s">
        <v>248</v>
      </c>
      <c r="Y114" s="202" t="s">
        <v>249</v>
      </c>
    </row>
    <row r="115" spans="1:25" x14ac:dyDescent="0.25">
      <c r="A115" s="215">
        <v>114</v>
      </c>
      <c r="B115" s="203" t="s">
        <v>1013</v>
      </c>
      <c r="C115" s="204" t="s">
        <v>114</v>
      </c>
      <c r="D115" s="203" t="s">
        <v>250</v>
      </c>
      <c r="E115" s="203" t="s">
        <v>251</v>
      </c>
      <c r="F115" s="203" t="s">
        <v>242</v>
      </c>
      <c r="G115" s="203" t="s">
        <v>243</v>
      </c>
      <c r="H115" s="203" t="s">
        <v>243</v>
      </c>
      <c r="I115" s="203" t="s">
        <v>243</v>
      </c>
      <c r="J115" s="203" t="s">
        <v>243</v>
      </c>
      <c r="K115" s="203" t="s">
        <v>243</v>
      </c>
      <c r="L115" s="203" t="s">
        <v>243</v>
      </c>
      <c r="M115" s="203" t="s">
        <v>243</v>
      </c>
      <c r="N115" s="203" t="s">
        <v>243</v>
      </c>
      <c r="O115" s="300">
        <v>15</v>
      </c>
      <c r="P115" s="300">
        <v>7</v>
      </c>
      <c r="Q115" s="300">
        <v>7</v>
      </c>
      <c r="R115" s="300">
        <v>7</v>
      </c>
      <c r="S115" s="300"/>
      <c r="T115" s="203" t="s">
        <v>244</v>
      </c>
      <c r="U115" s="203" t="s">
        <v>245</v>
      </c>
      <c r="V115" s="203" t="s">
        <v>246</v>
      </c>
      <c r="W115" s="203" t="s">
        <v>247</v>
      </c>
      <c r="X115" s="203" t="s">
        <v>248</v>
      </c>
      <c r="Y115" s="205" t="s">
        <v>249</v>
      </c>
    </row>
    <row r="116" spans="1:25" x14ac:dyDescent="0.25">
      <c r="A116" s="214">
        <v>115</v>
      </c>
      <c r="B116" s="200" t="s">
        <v>1014</v>
      </c>
      <c r="C116" s="201" t="s">
        <v>115</v>
      </c>
      <c r="D116" s="200" t="s">
        <v>250</v>
      </c>
      <c r="E116" s="200" t="s">
        <v>251</v>
      </c>
      <c r="F116" s="200" t="s">
        <v>242</v>
      </c>
      <c r="G116" s="200" t="s">
        <v>243</v>
      </c>
      <c r="H116" s="200" t="s">
        <v>243</v>
      </c>
      <c r="I116" s="200" t="s">
        <v>243</v>
      </c>
      <c r="J116" s="200" t="s">
        <v>243</v>
      </c>
      <c r="K116" s="200" t="s">
        <v>243</v>
      </c>
      <c r="L116" s="200" t="s">
        <v>243</v>
      </c>
      <c r="M116" s="200" t="s">
        <v>243</v>
      </c>
      <c r="N116" s="200" t="s">
        <v>243</v>
      </c>
      <c r="O116" s="299">
        <v>15</v>
      </c>
      <c r="P116" s="299">
        <v>7</v>
      </c>
      <c r="Q116" s="299">
        <v>7</v>
      </c>
      <c r="R116" s="299">
        <v>7</v>
      </c>
      <c r="S116" s="299"/>
      <c r="T116" s="200" t="s">
        <v>244</v>
      </c>
      <c r="U116" s="200" t="s">
        <v>245</v>
      </c>
      <c r="V116" s="200" t="s">
        <v>246</v>
      </c>
      <c r="W116" s="200" t="s">
        <v>247</v>
      </c>
      <c r="X116" s="200" t="s">
        <v>248</v>
      </c>
      <c r="Y116" s="202" t="s">
        <v>249</v>
      </c>
    </row>
    <row r="117" spans="1:25" x14ac:dyDescent="0.25">
      <c r="A117" s="215">
        <v>116</v>
      </c>
      <c r="B117" s="203" t="s">
        <v>1015</v>
      </c>
      <c r="C117" s="204" t="s">
        <v>116</v>
      </c>
      <c r="D117" s="203" t="s">
        <v>250</v>
      </c>
      <c r="E117" s="203" t="s">
        <v>251</v>
      </c>
      <c r="F117" s="203" t="s">
        <v>242</v>
      </c>
      <c r="G117" s="203" t="s">
        <v>243</v>
      </c>
      <c r="H117" s="203" t="s">
        <v>243</v>
      </c>
      <c r="I117" s="203" t="s">
        <v>243</v>
      </c>
      <c r="J117" s="203" t="s">
        <v>243</v>
      </c>
      <c r="K117" s="203" t="s">
        <v>243</v>
      </c>
      <c r="L117" s="203" t="s">
        <v>243</v>
      </c>
      <c r="M117" s="203" t="s">
        <v>243</v>
      </c>
      <c r="N117" s="203" t="s">
        <v>243</v>
      </c>
      <c r="O117" s="300">
        <v>15</v>
      </c>
      <c r="P117" s="300">
        <v>7</v>
      </c>
      <c r="Q117" s="300">
        <v>7</v>
      </c>
      <c r="R117" s="300">
        <v>7</v>
      </c>
      <c r="S117" s="300"/>
      <c r="T117" s="203" t="s">
        <v>244</v>
      </c>
      <c r="U117" s="203" t="s">
        <v>245</v>
      </c>
      <c r="V117" s="203" t="s">
        <v>246</v>
      </c>
      <c r="W117" s="203" t="s">
        <v>247</v>
      </c>
      <c r="X117" s="203" t="s">
        <v>248</v>
      </c>
      <c r="Y117" s="205" t="s">
        <v>249</v>
      </c>
    </row>
    <row r="118" spans="1:25" ht="30" x14ac:dyDescent="0.25">
      <c r="A118" s="214">
        <v>117</v>
      </c>
      <c r="B118" s="200" t="s">
        <v>1016</v>
      </c>
      <c r="C118" s="201" t="s">
        <v>117</v>
      </c>
      <c r="D118" s="200" t="s">
        <v>250</v>
      </c>
      <c r="E118" s="200" t="s">
        <v>251</v>
      </c>
      <c r="F118" s="200" t="s">
        <v>242</v>
      </c>
      <c r="G118" s="200" t="s">
        <v>243</v>
      </c>
      <c r="H118" s="200" t="s">
        <v>243</v>
      </c>
      <c r="I118" s="200" t="s">
        <v>243</v>
      </c>
      <c r="J118" s="200" t="s">
        <v>243</v>
      </c>
      <c r="K118" s="200" t="s">
        <v>243</v>
      </c>
      <c r="L118" s="200" t="s">
        <v>243</v>
      </c>
      <c r="M118" s="200" t="s">
        <v>243</v>
      </c>
      <c r="N118" s="200" t="s">
        <v>243</v>
      </c>
      <c r="O118" s="299">
        <v>15</v>
      </c>
      <c r="P118" s="299">
        <v>7</v>
      </c>
      <c r="Q118" s="299">
        <v>7</v>
      </c>
      <c r="R118" s="299">
        <v>7</v>
      </c>
      <c r="S118" s="299"/>
      <c r="T118" s="200" t="s">
        <v>244</v>
      </c>
      <c r="U118" s="200" t="s">
        <v>245</v>
      </c>
      <c r="V118" s="200" t="s">
        <v>246</v>
      </c>
      <c r="W118" s="200" t="s">
        <v>247</v>
      </c>
      <c r="X118" s="200" t="s">
        <v>248</v>
      </c>
      <c r="Y118" s="202" t="s">
        <v>249</v>
      </c>
    </row>
    <row r="119" spans="1:25" x14ac:dyDescent="0.25">
      <c r="A119" s="215">
        <v>118</v>
      </c>
      <c r="B119" s="203" t="s">
        <v>1017</v>
      </c>
      <c r="C119" s="204" t="s">
        <v>118</v>
      </c>
      <c r="D119" s="203" t="s">
        <v>250</v>
      </c>
      <c r="E119" s="203" t="s">
        <v>251</v>
      </c>
      <c r="F119" s="203" t="s">
        <v>242</v>
      </c>
      <c r="G119" s="203" t="s">
        <v>243</v>
      </c>
      <c r="H119" s="203" t="s">
        <v>243</v>
      </c>
      <c r="I119" s="203" t="s">
        <v>243</v>
      </c>
      <c r="J119" s="203" t="s">
        <v>243</v>
      </c>
      <c r="K119" s="203" t="s">
        <v>243</v>
      </c>
      <c r="L119" s="203" t="s">
        <v>243</v>
      </c>
      <c r="M119" s="203" t="s">
        <v>243</v>
      </c>
      <c r="N119" s="203" t="s">
        <v>243</v>
      </c>
      <c r="O119" s="300">
        <v>15</v>
      </c>
      <c r="P119" s="300">
        <v>7</v>
      </c>
      <c r="Q119" s="300">
        <v>7</v>
      </c>
      <c r="R119" s="300">
        <v>7</v>
      </c>
      <c r="S119" s="300"/>
      <c r="T119" s="203" t="s">
        <v>244</v>
      </c>
      <c r="U119" s="203" t="s">
        <v>245</v>
      </c>
      <c r="V119" s="203" t="s">
        <v>246</v>
      </c>
      <c r="W119" s="203" t="s">
        <v>247</v>
      </c>
      <c r="X119" s="203" t="s">
        <v>248</v>
      </c>
      <c r="Y119" s="205" t="s">
        <v>249</v>
      </c>
    </row>
    <row r="120" spans="1:25" x14ac:dyDescent="0.25">
      <c r="A120" s="214">
        <v>119</v>
      </c>
      <c r="B120" s="200" t="s">
        <v>1018</v>
      </c>
      <c r="C120" s="201" t="s">
        <v>119</v>
      </c>
      <c r="D120" s="200" t="s">
        <v>250</v>
      </c>
      <c r="E120" s="200" t="s">
        <v>251</v>
      </c>
      <c r="F120" s="200" t="s">
        <v>242</v>
      </c>
      <c r="G120" s="200" t="s">
        <v>243</v>
      </c>
      <c r="H120" s="200" t="s">
        <v>243</v>
      </c>
      <c r="I120" s="200" t="s">
        <v>243</v>
      </c>
      <c r="J120" s="200" t="s">
        <v>243</v>
      </c>
      <c r="K120" s="200" t="s">
        <v>243</v>
      </c>
      <c r="L120" s="200" t="s">
        <v>243</v>
      </c>
      <c r="M120" s="200" t="s">
        <v>243</v>
      </c>
      <c r="N120" s="200" t="s">
        <v>243</v>
      </c>
      <c r="O120" s="299">
        <v>15</v>
      </c>
      <c r="P120" s="299">
        <v>7</v>
      </c>
      <c r="Q120" s="299">
        <v>7</v>
      </c>
      <c r="R120" s="299">
        <v>7</v>
      </c>
      <c r="S120" s="299"/>
      <c r="T120" s="200" t="s">
        <v>244</v>
      </c>
      <c r="U120" s="200" t="s">
        <v>245</v>
      </c>
      <c r="V120" s="200" t="s">
        <v>246</v>
      </c>
      <c r="W120" s="200" t="s">
        <v>247</v>
      </c>
      <c r="X120" s="200" t="s">
        <v>248</v>
      </c>
      <c r="Y120" s="202" t="s">
        <v>249</v>
      </c>
    </row>
    <row r="121" spans="1:25" x14ac:dyDescent="0.25">
      <c r="A121" s="215">
        <v>120</v>
      </c>
      <c r="B121" s="203" t="s">
        <v>1019</v>
      </c>
      <c r="C121" s="204" t="s">
        <v>120</v>
      </c>
      <c r="D121" s="203" t="s">
        <v>250</v>
      </c>
      <c r="E121" s="203" t="s">
        <v>251</v>
      </c>
      <c r="F121" s="203" t="s">
        <v>242</v>
      </c>
      <c r="G121" s="203" t="s">
        <v>243</v>
      </c>
      <c r="H121" s="203" t="s">
        <v>243</v>
      </c>
      <c r="I121" s="203" t="s">
        <v>243</v>
      </c>
      <c r="J121" s="203" t="s">
        <v>243</v>
      </c>
      <c r="K121" s="203" t="s">
        <v>243</v>
      </c>
      <c r="L121" s="203" t="s">
        <v>243</v>
      </c>
      <c r="M121" s="203" t="s">
        <v>243</v>
      </c>
      <c r="N121" s="203" t="s">
        <v>243</v>
      </c>
      <c r="O121" s="300">
        <v>15</v>
      </c>
      <c r="P121" s="300">
        <v>7</v>
      </c>
      <c r="Q121" s="300">
        <v>7</v>
      </c>
      <c r="R121" s="300">
        <v>7</v>
      </c>
      <c r="S121" s="300"/>
      <c r="T121" s="203" t="s">
        <v>244</v>
      </c>
      <c r="U121" s="203" t="s">
        <v>245</v>
      </c>
      <c r="V121" s="203" t="s">
        <v>246</v>
      </c>
      <c r="W121" s="203" t="s">
        <v>247</v>
      </c>
      <c r="X121" s="203" t="s">
        <v>248</v>
      </c>
      <c r="Y121" s="205" t="s">
        <v>249</v>
      </c>
    </row>
    <row r="122" spans="1:25" x14ac:dyDescent="0.25">
      <c r="A122" s="214">
        <v>121</v>
      </c>
      <c r="B122" s="200" t="s">
        <v>1020</v>
      </c>
      <c r="C122" s="201" t="s">
        <v>121</v>
      </c>
      <c r="D122" s="200" t="s">
        <v>250</v>
      </c>
      <c r="E122" s="200" t="s">
        <v>251</v>
      </c>
      <c r="F122" s="200" t="s">
        <v>242</v>
      </c>
      <c r="G122" s="200" t="s">
        <v>243</v>
      </c>
      <c r="H122" s="200" t="s">
        <v>243</v>
      </c>
      <c r="I122" s="200" t="s">
        <v>243</v>
      </c>
      <c r="J122" s="200" t="s">
        <v>243</v>
      </c>
      <c r="K122" s="200" t="s">
        <v>243</v>
      </c>
      <c r="L122" s="200" t="s">
        <v>243</v>
      </c>
      <c r="M122" s="200" t="s">
        <v>243</v>
      </c>
      <c r="N122" s="200" t="s">
        <v>243</v>
      </c>
      <c r="O122" s="299">
        <v>15</v>
      </c>
      <c r="P122" s="299">
        <v>7</v>
      </c>
      <c r="Q122" s="299">
        <v>7</v>
      </c>
      <c r="R122" s="299">
        <v>7</v>
      </c>
      <c r="S122" s="299"/>
      <c r="T122" s="200" t="s">
        <v>244</v>
      </c>
      <c r="U122" s="200" t="s">
        <v>245</v>
      </c>
      <c r="V122" s="200" t="s">
        <v>246</v>
      </c>
      <c r="W122" s="200" t="s">
        <v>247</v>
      </c>
      <c r="X122" s="200" t="s">
        <v>248</v>
      </c>
      <c r="Y122" s="202" t="s">
        <v>249</v>
      </c>
    </row>
    <row r="123" spans="1:25" ht="30" x14ac:dyDescent="0.25">
      <c r="A123" s="215">
        <v>122</v>
      </c>
      <c r="B123" s="203" t="s">
        <v>1021</v>
      </c>
      <c r="C123" s="204" t="s">
        <v>122</v>
      </c>
      <c r="D123" s="203" t="s">
        <v>250</v>
      </c>
      <c r="E123" s="203" t="s">
        <v>251</v>
      </c>
      <c r="F123" s="203" t="s">
        <v>242</v>
      </c>
      <c r="G123" s="203" t="s">
        <v>243</v>
      </c>
      <c r="H123" s="203" t="s">
        <v>243</v>
      </c>
      <c r="I123" s="203" t="s">
        <v>243</v>
      </c>
      <c r="J123" s="203" t="s">
        <v>243</v>
      </c>
      <c r="K123" s="203" t="s">
        <v>243</v>
      </c>
      <c r="L123" s="203" t="s">
        <v>243</v>
      </c>
      <c r="M123" s="203" t="s">
        <v>243</v>
      </c>
      <c r="N123" s="203" t="s">
        <v>243</v>
      </c>
      <c r="O123" s="300">
        <v>15</v>
      </c>
      <c r="P123" s="300">
        <v>7</v>
      </c>
      <c r="Q123" s="300">
        <v>7</v>
      </c>
      <c r="R123" s="300">
        <v>7</v>
      </c>
      <c r="S123" s="300"/>
      <c r="T123" s="203" t="s">
        <v>244</v>
      </c>
      <c r="U123" s="203" t="s">
        <v>245</v>
      </c>
      <c r="V123" s="203" t="s">
        <v>246</v>
      </c>
      <c r="W123" s="203" t="s">
        <v>247</v>
      </c>
      <c r="X123" s="203" t="s">
        <v>248</v>
      </c>
      <c r="Y123" s="205" t="s">
        <v>249</v>
      </c>
    </row>
    <row r="124" spans="1:25" x14ac:dyDescent="0.25">
      <c r="A124" s="214">
        <v>123</v>
      </c>
      <c r="B124" s="200" t="s">
        <v>1022</v>
      </c>
      <c r="C124" s="201" t="s">
        <v>123</v>
      </c>
      <c r="D124" s="200" t="s">
        <v>250</v>
      </c>
      <c r="E124" s="200" t="s">
        <v>251</v>
      </c>
      <c r="F124" s="200" t="s">
        <v>242</v>
      </c>
      <c r="G124" s="200" t="s">
        <v>243</v>
      </c>
      <c r="H124" s="200" t="s">
        <v>243</v>
      </c>
      <c r="I124" s="200" t="s">
        <v>243</v>
      </c>
      <c r="J124" s="200" t="s">
        <v>243</v>
      </c>
      <c r="K124" s="200" t="s">
        <v>243</v>
      </c>
      <c r="L124" s="200" t="s">
        <v>243</v>
      </c>
      <c r="M124" s="200" t="s">
        <v>243</v>
      </c>
      <c r="N124" s="200" t="s">
        <v>243</v>
      </c>
      <c r="O124" s="299">
        <v>15</v>
      </c>
      <c r="P124" s="299">
        <v>7</v>
      </c>
      <c r="Q124" s="299">
        <v>7</v>
      </c>
      <c r="R124" s="299">
        <v>7</v>
      </c>
      <c r="S124" s="299"/>
      <c r="T124" s="200" t="s">
        <v>244</v>
      </c>
      <c r="U124" s="200" t="s">
        <v>245</v>
      </c>
      <c r="V124" s="200" t="s">
        <v>246</v>
      </c>
      <c r="W124" s="200" t="s">
        <v>247</v>
      </c>
      <c r="X124" s="200" t="s">
        <v>248</v>
      </c>
      <c r="Y124" s="202" t="s">
        <v>249</v>
      </c>
    </row>
    <row r="125" spans="1:25" s="4" customFormat="1" ht="75" x14ac:dyDescent="0.25">
      <c r="A125" s="215">
        <v>124</v>
      </c>
      <c r="B125" s="203" t="s">
        <v>1023</v>
      </c>
      <c r="C125" s="204" t="s">
        <v>124</v>
      </c>
      <c r="D125" s="203" t="s">
        <v>353</v>
      </c>
      <c r="E125" s="203" t="s">
        <v>241</v>
      </c>
      <c r="F125" s="203" t="s">
        <v>242</v>
      </c>
      <c r="G125" s="203" t="s">
        <v>354</v>
      </c>
      <c r="H125" s="203" t="s">
        <v>243</v>
      </c>
      <c r="I125" s="203" t="s">
        <v>243</v>
      </c>
      <c r="J125" s="203" t="s">
        <v>243</v>
      </c>
      <c r="K125" s="203" t="s">
        <v>243</v>
      </c>
      <c r="L125" s="203" t="s">
        <v>243</v>
      </c>
      <c r="M125" s="203" t="s">
        <v>243</v>
      </c>
      <c r="N125" s="203" t="s">
        <v>243</v>
      </c>
      <c r="O125" s="300">
        <v>5</v>
      </c>
      <c r="P125" s="300">
        <v>5</v>
      </c>
      <c r="Q125" s="300">
        <v>18</v>
      </c>
      <c r="R125" s="300">
        <v>5</v>
      </c>
      <c r="S125" s="300">
        <v>1</v>
      </c>
      <c r="T125" s="203" t="s">
        <v>355</v>
      </c>
      <c r="U125" s="203" t="s">
        <v>355</v>
      </c>
      <c r="V125" s="203" t="s">
        <v>355</v>
      </c>
      <c r="W125" s="203" t="s">
        <v>356</v>
      </c>
      <c r="X125" s="203" t="s">
        <v>299</v>
      </c>
      <c r="Y125" s="205" t="s">
        <v>357</v>
      </c>
    </row>
    <row r="126" spans="1:25" ht="30" x14ac:dyDescent="0.25">
      <c r="A126" s="214">
        <v>125</v>
      </c>
      <c r="B126" s="200" t="s">
        <v>1024</v>
      </c>
      <c r="C126" s="201" t="s">
        <v>125</v>
      </c>
      <c r="D126" s="200" t="s">
        <v>250</v>
      </c>
      <c r="E126" s="200" t="s">
        <v>251</v>
      </c>
      <c r="F126" s="200" t="s">
        <v>242</v>
      </c>
      <c r="G126" s="200" t="s">
        <v>243</v>
      </c>
      <c r="H126" s="200" t="s">
        <v>243</v>
      </c>
      <c r="I126" s="200" t="s">
        <v>243</v>
      </c>
      <c r="J126" s="200" t="s">
        <v>243</v>
      </c>
      <c r="K126" s="200" t="s">
        <v>243</v>
      </c>
      <c r="L126" s="200" t="s">
        <v>243</v>
      </c>
      <c r="M126" s="200" t="s">
        <v>243</v>
      </c>
      <c r="N126" s="200" t="s">
        <v>243</v>
      </c>
      <c r="O126" s="299">
        <v>15</v>
      </c>
      <c r="P126" s="299">
        <v>7</v>
      </c>
      <c r="Q126" s="299">
        <v>7</v>
      </c>
      <c r="R126" s="299">
        <v>7</v>
      </c>
      <c r="S126" s="299"/>
      <c r="T126" s="200" t="s">
        <v>244</v>
      </c>
      <c r="U126" s="200" t="s">
        <v>245</v>
      </c>
      <c r="V126" s="200" t="s">
        <v>246</v>
      </c>
      <c r="W126" s="200" t="s">
        <v>247</v>
      </c>
      <c r="X126" s="200" t="s">
        <v>248</v>
      </c>
      <c r="Y126" s="202" t="s">
        <v>249</v>
      </c>
    </row>
    <row r="127" spans="1:25" x14ac:dyDescent="0.25">
      <c r="A127" s="215">
        <v>126</v>
      </c>
      <c r="B127" s="203" t="s">
        <v>1025</v>
      </c>
      <c r="C127" s="204" t="s">
        <v>126</v>
      </c>
      <c r="D127" s="203" t="s">
        <v>250</v>
      </c>
      <c r="E127" s="203" t="s">
        <v>251</v>
      </c>
      <c r="F127" s="203" t="s">
        <v>242</v>
      </c>
      <c r="G127" s="203" t="s">
        <v>243</v>
      </c>
      <c r="H127" s="203" t="s">
        <v>243</v>
      </c>
      <c r="I127" s="203" t="s">
        <v>243</v>
      </c>
      <c r="J127" s="203" t="s">
        <v>243</v>
      </c>
      <c r="K127" s="203" t="s">
        <v>243</v>
      </c>
      <c r="L127" s="203" t="s">
        <v>243</v>
      </c>
      <c r="M127" s="203" t="s">
        <v>243</v>
      </c>
      <c r="N127" s="203" t="s">
        <v>243</v>
      </c>
      <c r="O127" s="300">
        <v>15</v>
      </c>
      <c r="P127" s="300">
        <v>7</v>
      </c>
      <c r="Q127" s="300">
        <v>7</v>
      </c>
      <c r="R127" s="300">
        <v>7</v>
      </c>
      <c r="S127" s="300"/>
      <c r="T127" s="203" t="s">
        <v>244</v>
      </c>
      <c r="U127" s="203" t="s">
        <v>245</v>
      </c>
      <c r="V127" s="203" t="s">
        <v>246</v>
      </c>
      <c r="W127" s="203" t="s">
        <v>247</v>
      </c>
      <c r="X127" s="203" t="s">
        <v>248</v>
      </c>
      <c r="Y127" s="205" t="s">
        <v>249</v>
      </c>
    </row>
    <row r="128" spans="1:25" ht="30" x14ac:dyDescent="0.25">
      <c r="A128" s="214">
        <v>127</v>
      </c>
      <c r="B128" s="200" t="s">
        <v>1026</v>
      </c>
      <c r="C128" s="201" t="s">
        <v>127</v>
      </c>
      <c r="D128" s="200" t="s">
        <v>250</v>
      </c>
      <c r="E128" s="200" t="s">
        <v>251</v>
      </c>
      <c r="F128" s="200" t="s">
        <v>242</v>
      </c>
      <c r="G128" s="200" t="s">
        <v>243</v>
      </c>
      <c r="H128" s="200" t="s">
        <v>243</v>
      </c>
      <c r="I128" s="200" t="s">
        <v>243</v>
      </c>
      <c r="J128" s="200" t="s">
        <v>243</v>
      </c>
      <c r="K128" s="200" t="s">
        <v>243</v>
      </c>
      <c r="L128" s="200" t="s">
        <v>243</v>
      </c>
      <c r="M128" s="200" t="s">
        <v>243</v>
      </c>
      <c r="N128" s="200" t="s">
        <v>243</v>
      </c>
      <c r="O128" s="299">
        <v>15</v>
      </c>
      <c r="P128" s="299">
        <v>7</v>
      </c>
      <c r="Q128" s="299">
        <v>7</v>
      </c>
      <c r="R128" s="299">
        <v>7</v>
      </c>
      <c r="S128" s="299"/>
      <c r="T128" s="200" t="s">
        <v>244</v>
      </c>
      <c r="U128" s="200" t="s">
        <v>245</v>
      </c>
      <c r="V128" s="200" t="s">
        <v>246</v>
      </c>
      <c r="W128" s="200" t="s">
        <v>247</v>
      </c>
      <c r="X128" s="200" t="s">
        <v>248</v>
      </c>
      <c r="Y128" s="202" t="s">
        <v>249</v>
      </c>
    </row>
    <row r="129" spans="1:25" s="4" customFormat="1" ht="30" x14ac:dyDescent="0.25">
      <c r="A129" s="215">
        <v>128</v>
      </c>
      <c r="B129" s="203" t="s">
        <v>1027</v>
      </c>
      <c r="C129" s="204" t="s">
        <v>128</v>
      </c>
      <c r="D129" s="203" t="s">
        <v>323</v>
      </c>
      <c r="E129" s="203" t="s">
        <v>241</v>
      </c>
      <c r="F129" s="203" t="s">
        <v>222</v>
      </c>
      <c r="G129" s="203" t="s">
        <v>243</v>
      </c>
      <c r="H129" s="203" t="s">
        <v>243</v>
      </c>
      <c r="I129" s="203" t="s">
        <v>243</v>
      </c>
      <c r="J129" s="203" t="s">
        <v>243</v>
      </c>
      <c r="K129" s="203" t="s">
        <v>243</v>
      </c>
      <c r="L129" s="203" t="s">
        <v>243</v>
      </c>
      <c r="M129" s="203" t="s">
        <v>243</v>
      </c>
      <c r="N129" s="203" t="s">
        <v>243</v>
      </c>
      <c r="O129" s="300">
        <v>5</v>
      </c>
      <c r="P129" s="300">
        <v>5</v>
      </c>
      <c r="Q129" s="300">
        <v>12</v>
      </c>
      <c r="R129" s="300">
        <v>5</v>
      </c>
      <c r="S129" s="300">
        <v>1</v>
      </c>
      <c r="T129" s="203" t="s">
        <v>291</v>
      </c>
      <c r="U129" s="203" t="s">
        <v>245</v>
      </c>
      <c r="V129" s="203" t="s">
        <v>293</v>
      </c>
      <c r="W129" s="203" t="s">
        <v>358</v>
      </c>
      <c r="X129" s="203" t="s">
        <v>248</v>
      </c>
      <c r="Y129" s="205" t="s">
        <v>249</v>
      </c>
    </row>
    <row r="130" spans="1:25" s="4" customFormat="1" ht="30" x14ac:dyDescent="0.25">
      <c r="A130" s="214">
        <v>129</v>
      </c>
      <c r="B130" s="200" t="s">
        <v>1028</v>
      </c>
      <c r="C130" s="201" t="s">
        <v>129</v>
      </c>
      <c r="D130" s="200" t="s">
        <v>323</v>
      </c>
      <c r="E130" s="200" t="s">
        <v>241</v>
      </c>
      <c r="F130" s="200" t="s">
        <v>222</v>
      </c>
      <c r="G130" s="200" t="s">
        <v>243</v>
      </c>
      <c r="H130" s="200" t="s">
        <v>243</v>
      </c>
      <c r="I130" s="200" t="s">
        <v>243</v>
      </c>
      <c r="J130" s="200" t="s">
        <v>243</v>
      </c>
      <c r="K130" s="200" t="s">
        <v>243</v>
      </c>
      <c r="L130" s="200" t="s">
        <v>243</v>
      </c>
      <c r="M130" s="200" t="s">
        <v>243</v>
      </c>
      <c r="N130" s="200" t="s">
        <v>243</v>
      </c>
      <c r="O130" s="299">
        <v>12</v>
      </c>
      <c r="P130" s="299">
        <v>5</v>
      </c>
      <c r="Q130" s="299">
        <v>5</v>
      </c>
      <c r="R130" s="299">
        <v>5</v>
      </c>
      <c r="S130" s="299">
        <v>1</v>
      </c>
      <c r="T130" s="200" t="s">
        <v>291</v>
      </c>
      <c r="U130" s="200" t="s">
        <v>245</v>
      </c>
      <c r="V130" s="200" t="s">
        <v>293</v>
      </c>
      <c r="W130" s="200" t="s">
        <v>247</v>
      </c>
      <c r="X130" s="200" t="s">
        <v>248</v>
      </c>
      <c r="Y130" s="202" t="s">
        <v>249</v>
      </c>
    </row>
    <row r="131" spans="1:25" s="4" customFormat="1" ht="60" x14ac:dyDescent="0.25">
      <c r="A131" s="215">
        <v>130</v>
      </c>
      <c r="B131" s="203" t="s">
        <v>1029</v>
      </c>
      <c r="C131" s="204" t="s">
        <v>130</v>
      </c>
      <c r="D131" s="203" t="s">
        <v>344</v>
      </c>
      <c r="E131" s="203" t="s">
        <v>241</v>
      </c>
      <c r="F131" s="203" t="s">
        <v>242</v>
      </c>
      <c r="G131" s="203" t="s">
        <v>289</v>
      </c>
      <c r="H131" s="203" t="s">
        <v>311</v>
      </c>
      <c r="I131" s="203" t="s">
        <v>359</v>
      </c>
      <c r="J131" s="203" t="s">
        <v>243</v>
      </c>
      <c r="K131" s="203" t="s">
        <v>243</v>
      </c>
      <c r="L131" s="203" t="s">
        <v>243</v>
      </c>
      <c r="M131" s="203" t="s">
        <v>243</v>
      </c>
      <c r="N131" s="203" t="s">
        <v>243</v>
      </c>
      <c r="O131" s="300">
        <v>20</v>
      </c>
      <c r="P131" s="300">
        <v>7</v>
      </c>
      <c r="Q131" s="300">
        <v>7</v>
      </c>
      <c r="R131" s="300">
        <v>7</v>
      </c>
      <c r="S131" s="300">
        <v>2</v>
      </c>
      <c r="T131" s="203" t="s">
        <v>267</v>
      </c>
      <c r="U131" s="203" t="s">
        <v>321</v>
      </c>
      <c r="V131" s="203" t="s">
        <v>268</v>
      </c>
      <c r="W131" s="203" t="s">
        <v>334</v>
      </c>
      <c r="X131" s="203" t="s">
        <v>313</v>
      </c>
      <c r="Y131" s="207" t="s">
        <v>391</v>
      </c>
    </row>
    <row r="132" spans="1:25" s="4" customFormat="1" x14ac:dyDescent="0.25">
      <c r="A132" s="214">
        <v>131</v>
      </c>
      <c r="B132" s="200" t="s">
        <v>1030</v>
      </c>
      <c r="C132" s="201" t="s">
        <v>131</v>
      </c>
      <c r="D132" s="200" t="s">
        <v>323</v>
      </c>
      <c r="E132" s="200" t="s">
        <v>241</v>
      </c>
      <c r="F132" s="200" t="s">
        <v>222</v>
      </c>
      <c r="G132" s="200" t="s">
        <v>243</v>
      </c>
      <c r="H132" s="200" t="s">
        <v>243</v>
      </c>
      <c r="I132" s="200" t="s">
        <v>243</v>
      </c>
      <c r="J132" s="200" t="s">
        <v>243</v>
      </c>
      <c r="K132" s="200" t="s">
        <v>243</v>
      </c>
      <c r="L132" s="200" t="s">
        <v>243</v>
      </c>
      <c r="M132" s="200" t="s">
        <v>243</v>
      </c>
      <c r="N132" s="200" t="s">
        <v>243</v>
      </c>
      <c r="O132" s="299">
        <v>5</v>
      </c>
      <c r="P132" s="299">
        <v>5</v>
      </c>
      <c r="Q132" s="299">
        <v>12</v>
      </c>
      <c r="R132" s="299">
        <v>5</v>
      </c>
      <c r="S132" s="299">
        <v>1</v>
      </c>
      <c r="T132" s="200" t="s">
        <v>291</v>
      </c>
      <c r="U132" s="200" t="s">
        <v>245</v>
      </c>
      <c r="V132" s="200" t="s">
        <v>293</v>
      </c>
      <c r="W132" s="200" t="s">
        <v>358</v>
      </c>
      <c r="X132" s="200" t="s">
        <v>248</v>
      </c>
      <c r="Y132" s="208" t="s">
        <v>388</v>
      </c>
    </row>
    <row r="133" spans="1:25" ht="30" x14ac:dyDescent="0.25">
      <c r="A133" s="215">
        <v>132</v>
      </c>
      <c r="B133" s="203" t="s">
        <v>1031</v>
      </c>
      <c r="C133" s="204" t="s">
        <v>132</v>
      </c>
      <c r="D133" s="203" t="s">
        <v>250</v>
      </c>
      <c r="E133" s="203" t="s">
        <v>251</v>
      </c>
      <c r="F133" s="203" t="s">
        <v>242</v>
      </c>
      <c r="G133" s="203" t="s">
        <v>243</v>
      </c>
      <c r="H133" s="203" t="s">
        <v>243</v>
      </c>
      <c r="I133" s="203" t="s">
        <v>243</v>
      </c>
      <c r="J133" s="203" t="s">
        <v>243</v>
      </c>
      <c r="K133" s="203" t="s">
        <v>243</v>
      </c>
      <c r="L133" s="203" t="s">
        <v>243</v>
      </c>
      <c r="M133" s="203" t="s">
        <v>243</v>
      </c>
      <c r="N133" s="203" t="s">
        <v>243</v>
      </c>
      <c r="O133" s="300">
        <v>15</v>
      </c>
      <c r="P133" s="300">
        <v>7</v>
      </c>
      <c r="Q133" s="300">
        <v>7</v>
      </c>
      <c r="R133" s="300">
        <v>7</v>
      </c>
      <c r="S133" s="300"/>
      <c r="T133" s="203" t="s">
        <v>244</v>
      </c>
      <c r="U133" s="203" t="s">
        <v>245</v>
      </c>
      <c r="V133" s="203" t="s">
        <v>246</v>
      </c>
      <c r="W133" s="203" t="s">
        <v>247</v>
      </c>
      <c r="X133" s="203" t="s">
        <v>248</v>
      </c>
      <c r="Y133" s="207" t="s">
        <v>389</v>
      </c>
    </row>
    <row r="134" spans="1:25" ht="30" x14ac:dyDescent="0.25">
      <c r="A134" s="214">
        <v>133</v>
      </c>
      <c r="B134" s="200" t="s">
        <v>1032</v>
      </c>
      <c r="C134" s="201" t="s">
        <v>133</v>
      </c>
      <c r="D134" s="200" t="s">
        <v>250</v>
      </c>
      <c r="E134" s="200" t="s">
        <v>251</v>
      </c>
      <c r="F134" s="200" t="s">
        <v>242</v>
      </c>
      <c r="G134" s="200" t="s">
        <v>243</v>
      </c>
      <c r="H134" s="200" t="s">
        <v>243</v>
      </c>
      <c r="I134" s="200" t="s">
        <v>243</v>
      </c>
      <c r="J134" s="200" t="s">
        <v>243</v>
      </c>
      <c r="K134" s="200" t="s">
        <v>243</v>
      </c>
      <c r="L134" s="200" t="s">
        <v>243</v>
      </c>
      <c r="M134" s="200" t="s">
        <v>243</v>
      </c>
      <c r="N134" s="200" t="s">
        <v>243</v>
      </c>
      <c r="O134" s="299">
        <v>15</v>
      </c>
      <c r="P134" s="299">
        <v>7</v>
      </c>
      <c r="Q134" s="299">
        <v>7</v>
      </c>
      <c r="R134" s="299">
        <v>7</v>
      </c>
      <c r="S134" s="299"/>
      <c r="T134" s="200" t="s">
        <v>244</v>
      </c>
      <c r="U134" s="200" t="s">
        <v>245</v>
      </c>
      <c r="V134" s="200" t="s">
        <v>246</v>
      </c>
      <c r="W134" s="200" t="s">
        <v>247</v>
      </c>
      <c r="X134" s="200" t="s">
        <v>248</v>
      </c>
      <c r="Y134" s="208" t="s">
        <v>390</v>
      </c>
    </row>
    <row r="135" spans="1:25" s="4" customFormat="1" ht="30" x14ac:dyDescent="0.25">
      <c r="A135" s="215">
        <v>134</v>
      </c>
      <c r="B135" s="203" t="s">
        <v>1033</v>
      </c>
      <c r="C135" s="204" t="s">
        <v>134</v>
      </c>
      <c r="D135" s="203" t="s">
        <v>328</v>
      </c>
      <c r="E135" s="203" t="s">
        <v>241</v>
      </c>
      <c r="F135" s="203" t="s">
        <v>222</v>
      </c>
      <c r="G135" s="203" t="s">
        <v>243</v>
      </c>
      <c r="H135" s="203" t="s">
        <v>311</v>
      </c>
      <c r="I135" s="203" t="s">
        <v>243</v>
      </c>
      <c r="J135" s="203" t="s">
        <v>243</v>
      </c>
      <c r="K135" s="203" t="s">
        <v>243</v>
      </c>
      <c r="L135" s="203" t="s">
        <v>243</v>
      </c>
      <c r="M135" s="203" t="s">
        <v>243</v>
      </c>
      <c r="N135" s="203" t="s">
        <v>243</v>
      </c>
      <c r="O135" s="300">
        <v>25</v>
      </c>
      <c r="P135" s="300">
        <v>7</v>
      </c>
      <c r="Q135" s="300">
        <v>7</v>
      </c>
      <c r="R135" s="300">
        <v>7</v>
      </c>
      <c r="S135" s="300">
        <v>1</v>
      </c>
      <c r="T135" s="203" t="s">
        <v>244</v>
      </c>
      <c r="U135" s="203" t="s">
        <v>245</v>
      </c>
      <c r="V135" s="203" t="s">
        <v>246</v>
      </c>
      <c r="W135" s="203" t="s">
        <v>345</v>
      </c>
      <c r="X135" s="203" t="s">
        <v>248</v>
      </c>
      <c r="Y135" s="205" t="s">
        <v>249</v>
      </c>
    </row>
    <row r="136" spans="1:25" ht="30" x14ac:dyDescent="0.25">
      <c r="A136" s="214">
        <v>135</v>
      </c>
      <c r="B136" s="200" t="s">
        <v>1034</v>
      </c>
      <c r="C136" s="201" t="s">
        <v>135</v>
      </c>
      <c r="D136" s="200" t="s">
        <v>250</v>
      </c>
      <c r="E136" s="200" t="s">
        <v>251</v>
      </c>
      <c r="F136" s="200" t="s">
        <v>242</v>
      </c>
      <c r="G136" s="200" t="s">
        <v>243</v>
      </c>
      <c r="H136" s="200" t="s">
        <v>243</v>
      </c>
      <c r="I136" s="200" t="s">
        <v>243</v>
      </c>
      <c r="J136" s="200" t="s">
        <v>243</v>
      </c>
      <c r="K136" s="200" t="s">
        <v>243</v>
      </c>
      <c r="L136" s="200" t="s">
        <v>243</v>
      </c>
      <c r="M136" s="200" t="s">
        <v>243</v>
      </c>
      <c r="N136" s="200" t="s">
        <v>243</v>
      </c>
      <c r="O136" s="299">
        <v>15</v>
      </c>
      <c r="P136" s="299">
        <v>7</v>
      </c>
      <c r="Q136" s="299">
        <v>7</v>
      </c>
      <c r="R136" s="299">
        <v>7</v>
      </c>
      <c r="S136" s="299"/>
      <c r="T136" s="200" t="s">
        <v>244</v>
      </c>
      <c r="U136" s="200" t="s">
        <v>245</v>
      </c>
      <c r="V136" s="200" t="s">
        <v>246</v>
      </c>
      <c r="W136" s="200" t="s">
        <v>247</v>
      </c>
      <c r="X136" s="200" t="s">
        <v>248</v>
      </c>
      <c r="Y136" s="202" t="s">
        <v>249</v>
      </c>
    </row>
    <row r="137" spans="1:25" ht="45" x14ac:dyDescent="0.25">
      <c r="A137" s="215">
        <v>136</v>
      </c>
      <c r="B137" s="203" t="s">
        <v>1035</v>
      </c>
      <c r="C137" s="204" t="s">
        <v>136</v>
      </c>
      <c r="D137" s="203" t="s">
        <v>250</v>
      </c>
      <c r="E137" s="203" t="s">
        <v>251</v>
      </c>
      <c r="F137" s="203" t="s">
        <v>242</v>
      </c>
      <c r="G137" s="203" t="s">
        <v>243</v>
      </c>
      <c r="H137" s="203" t="s">
        <v>243</v>
      </c>
      <c r="I137" s="203" t="s">
        <v>243</v>
      </c>
      <c r="J137" s="203" t="s">
        <v>243</v>
      </c>
      <c r="K137" s="203" t="s">
        <v>243</v>
      </c>
      <c r="L137" s="203" t="s">
        <v>243</v>
      </c>
      <c r="M137" s="203" t="s">
        <v>243</v>
      </c>
      <c r="N137" s="203" t="s">
        <v>243</v>
      </c>
      <c r="O137" s="300">
        <v>15</v>
      </c>
      <c r="P137" s="300">
        <v>7</v>
      </c>
      <c r="Q137" s="300">
        <v>7</v>
      </c>
      <c r="R137" s="300">
        <v>7</v>
      </c>
      <c r="S137" s="300"/>
      <c r="T137" s="203" t="s">
        <v>244</v>
      </c>
      <c r="U137" s="203" t="s">
        <v>245</v>
      </c>
      <c r="V137" s="203" t="s">
        <v>246</v>
      </c>
      <c r="W137" s="203" t="s">
        <v>247</v>
      </c>
      <c r="X137" s="203" t="s">
        <v>248</v>
      </c>
      <c r="Y137" s="205" t="s">
        <v>249</v>
      </c>
    </row>
    <row r="138" spans="1:25" s="4" customFormat="1" ht="60" x14ac:dyDescent="0.25">
      <c r="A138" s="214">
        <v>137</v>
      </c>
      <c r="B138" s="200" t="s">
        <v>1036</v>
      </c>
      <c r="C138" s="201" t="s">
        <v>137</v>
      </c>
      <c r="D138" s="200" t="s">
        <v>344</v>
      </c>
      <c r="E138" s="200" t="s">
        <v>241</v>
      </c>
      <c r="F138" s="200" t="s">
        <v>242</v>
      </c>
      <c r="G138" s="200" t="s">
        <v>289</v>
      </c>
      <c r="H138" s="200" t="s">
        <v>311</v>
      </c>
      <c r="I138" s="200" t="s">
        <v>359</v>
      </c>
      <c r="J138" s="200" t="s">
        <v>243</v>
      </c>
      <c r="K138" s="200" t="s">
        <v>243</v>
      </c>
      <c r="L138" s="200" t="s">
        <v>243</v>
      </c>
      <c r="M138" s="200" t="s">
        <v>243</v>
      </c>
      <c r="N138" s="200" t="s">
        <v>243</v>
      </c>
      <c r="O138" s="299">
        <v>20</v>
      </c>
      <c r="P138" s="299">
        <v>7</v>
      </c>
      <c r="Q138" s="299">
        <v>7</v>
      </c>
      <c r="R138" s="299">
        <v>7</v>
      </c>
      <c r="S138" s="299">
        <v>2</v>
      </c>
      <c r="T138" s="200" t="s">
        <v>267</v>
      </c>
      <c r="U138" s="200" t="s">
        <v>321</v>
      </c>
      <c r="V138" s="200" t="s">
        <v>268</v>
      </c>
      <c r="W138" s="200" t="s">
        <v>247</v>
      </c>
      <c r="X138" s="200" t="s">
        <v>313</v>
      </c>
      <c r="Y138" s="208" t="s">
        <v>391</v>
      </c>
    </row>
    <row r="139" spans="1:25" s="4" customFormat="1" ht="30" x14ac:dyDescent="0.25">
      <c r="A139" s="215">
        <v>138</v>
      </c>
      <c r="B139" s="203" t="s">
        <v>1037</v>
      </c>
      <c r="C139" s="204" t="s">
        <v>138</v>
      </c>
      <c r="D139" s="203" t="s">
        <v>304</v>
      </c>
      <c r="E139" s="203" t="s">
        <v>241</v>
      </c>
      <c r="F139" s="203" t="s">
        <v>242</v>
      </c>
      <c r="G139" s="203" t="s">
        <v>305</v>
      </c>
      <c r="H139" s="203" t="s">
        <v>243</v>
      </c>
      <c r="I139" s="203" t="s">
        <v>243</v>
      </c>
      <c r="J139" s="203" t="s">
        <v>243</v>
      </c>
      <c r="K139" s="203" t="s">
        <v>290</v>
      </c>
      <c r="L139" s="203" t="s">
        <v>243</v>
      </c>
      <c r="M139" s="203" t="s">
        <v>243</v>
      </c>
      <c r="N139" s="203" t="s">
        <v>290</v>
      </c>
      <c r="O139" s="300">
        <v>15</v>
      </c>
      <c r="P139" s="300">
        <v>15</v>
      </c>
      <c r="Q139" s="300">
        <v>10</v>
      </c>
      <c r="R139" s="300"/>
      <c r="S139" s="300">
        <v>1</v>
      </c>
      <c r="T139" s="203" t="s">
        <v>360</v>
      </c>
      <c r="U139" s="203" t="s">
        <v>245</v>
      </c>
      <c r="V139" s="203" t="s">
        <v>361</v>
      </c>
      <c r="W139" s="203" t="s">
        <v>362</v>
      </c>
      <c r="X139" s="203" t="s">
        <v>363</v>
      </c>
      <c r="Y139" s="205" t="s">
        <v>364</v>
      </c>
    </row>
    <row r="140" spans="1:25" x14ac:dyDescent="0.25">
      <c r="A140" s="214">
        <v>139</v>
      </c>
      <c r="B140" s="200" t="s">
        <v>1038</v>
      </c>
      <c r="C140" s="201" t="s">
        <v>139</v>
      </c>
      <c r="D140" s="200" t="s">
        <v>250</v>
      </c>
      <c r="E140" s="200" t="s">
        <v>251</v>
      </c>
      <c r="F140" s="200" t="s">
        <v>242</v>
      </c>
      <c r="G140" s="200" t="s">
        <v>243</v>
      </c>
      <c r="H140" s="200" t="s">
        <v>243</v>
      </c>
      <c r="I140" s="200" t="s">
        <v>243</v>
      </c>
      <c r="J140" s="200" t="s">
        <v>243</v>
      </c>
      <c r="K140" s="200" t="s">
        <v>243</v>
      </c>
      <c r="L140" s="200" t="s">
        <v>243</v>
      </c>
      <c r="M140" s="200" t="s">
        <v>243</v>
      </c>
      <c r="N140" s="200" t="s">
        <v>243</v>
      </c>
      <c r="O140" s="299">
        <v>15</v>
      </c>
      <c r="P140" s="299">
        <v>7</v>
      </c>
      <c r="Q140" s="299">
        <v>7</v>
      </c>
      <c r="R140" s="299">
        <v>7</v>
      </c>
      <c r="S140" s="299"/>
      <c r="T140" s="200" t="s">
        <v>244</v>
      </c>
      <c r="U140" s="200" t="s">
        <v>245</v>
      </c>
      <c r="V140" s="200" t="s">
        <v>246</v>
      </c>
      <c r="W140" s="200" t="s">
        <v>247</v>
      </c>
      <c r="X140" s="200" t="s">
        <v>248</v>
      </c>
      <c r="Y140" s="202" t="s">
        <v>249</v>
      </c>
    </row>
    <row r="141" spans="1:25" ht="45" x14ac:dyDescent="0.25">
      <c r="A141" s="215">
        <v>140</v>
      </c>
      <c r="B141" s="203" t="s">
        <v>1039</v>
      </c>
      <c r="C141" s="204" t="s">
        <v>140</v>
      </c>
      <c r="D141" s="209"/>
      <c r="E141" s="209"/>
      <c r="F141" s="209"/>
      <c r="G141" s="209"/>
      <c r="H141" s="209"/>
      <c r="I141" s="209"/>
      <c r="J141" s="209"/>
      <c r="K141" s="209"/>
      <c r="L141" s="209"/>
      <c r="M141" s="209"/>
      <c r="N141" s="209"/>
      <c r="O141" s="301"/>
      <c r="P141" s="301"/>
      <c r="Q141" s="301"/>
      <c r="R141" s="301"/>
      <c r="S141" s="301"/>
      <c r="T141" s="209"/>
      <c r="U141" s="209"/>
      <c r="V141" s="209"/>
      <c r="W141" s="209"/>
      <c r="X141" s="209"/>
      <c r="Y141" s="210"/>
    </row>
    <row r="142" spans="1:25" ht="30" x14ac:dyDescent="0.25">
      <c r="A142" s="214">
        <v>141</v>
      </c>
      <c r="B142" s="200" t="s">
        <v>1040</v>
      </c>
      <c r="C142" s="201" t="s">
        <v>141</v>
      </c>
      <c r="D142" s="200" t="s">
        <v>250</v>
      </c>
      <c r="E142" s="200" t="s">
        <v>251</v>
      </c>
      <c r="F142" s="200" t="s">
        <v>242</v>
      </c>
      <c r="G142" s="200" t="s">
        <v>243</v>
      </c>
      <c r="H142" s="200" t="s">
        <v>243</v>
      </c>
      <c r="I142" s="200" t="s">
        <v>243</v>
      </c>
      <c r="J142" s="200" t="s">
        <v>243</v>
      </c>
      <c r="K142" s="200" t="s">
        <v>243</v>
      </c>
      <c r="L142" s="200" t="s">
        <v>243</v>
      </c>
      <c r="M142" s="200" t="s">
        <v>243</v>
      </c>
      <c r="N142" s="200" t="s">
        <v>243</v>
      </c>
      <c r="O142" s="299">
        <v>15</v>
      </c>
      <c r="P142" s="299">
        <v>7</v>
      </c>
      <c r="Q142" s="299">
        <v>7</v>
      </c>
      <c r="R142" s="299">
        <v>7</v>
      </c>
      <c r="S142" s="299"/>
      <c r="T142" s="200" t="s">
        <v>244</v>
      </c>
      <c r="U142" s="200" t="s">
        <v>245</v>
      </c>
      <c r="V142" s="200" t="s">
        <v>246</v>
      </c>
      <c r="W142" s="200" t="s">
        <v>247</v>
      </c>
      <c r="X142" s="200" t="s">
        <v>248</v>
      </c>
      <c r="Y142" s="202" t="s">
        <v>249</v>
      </c>
    </row>
    <row r="143" spans="1:25" ht="45" x14ac:dyDescent="0.25">
      <c r="A143" s="215">
        <v>142</v>
      </c>
      <c r="B143" s="203" t="s">
        <v>1041</v>
      </c>
      <c r="C143" s="204" t="s">
        <v>142</v>
      </c>
      <c r="D143" s="203" t="s">
        <v>250</v>
      </c>
      <c r="E143" s="203" t="s">
        <v>251</v>
      </c>
      <c r="F143" s="203" t="s">
        <v>242</v>
      </c>
      <c r="G143" s="203" t="s">
        <v>243</v>
      </c>
      <c r="H143" s="203" t="s">
        <v>243</v>
      </c>
      <c r="I143" s="203" t="s">
        <v>243</v>
      </c>
      <c r="J143" s="203" t="s">
        <v>243</v>
      </c>
      <c r="K143" s="203" t="s">
        <v>243</v>
      </c>
      <c r="L143" s="203" t="s">
        <v>243</v>
      </c>
      <c r="M143" s="203" t="s">
        <v>243</v>
      </c>
      <c r="N143" s="203" t="s">
        <v>243</v>
      </c>
      <c r="O143" s="300">
        <v>15</v>
      </c>
      <c r="P143" s="300">
        <v>7</v>
      </c>
      <c r="Q143" s="300">
        <v>7</v>
      </c>
      <c r="R143" s="300">
        <v>7</v>
      </c>
      <c r="S143" s="300"/>
      <c r="T143" s="203" t="s">
        <v>244</v>
      </c>
      <c r="U143" s="203" t="s">
        <v>245</v>
      </c>
      <c r="V143" s="203" t="s">
        <v>246</v>
      </c>
      <c r="W143" s="203" t="s">
        <v>247</v>
      </c>
      <c r="X143" s="203" t="s">
        <v>248</v>
      </c>
      <c r="Y143" s="205" t="s">
        <v>249</v>
      </c>
    </row>
    <row r="144" spans="1:25" ht="45" x14ac:dyDescent="0.25">
      <c r="A144" s="214">
        <v>143</v>
      </c>
      <c r="B144" s="200" t="s">
        <v>1042</v>
      </c>
      <c r="C144" s="201" t="s">
        <v>143</v>
      </c>
      <c r="D144" s="200" t="s">
        <v>250</v>
      </c>
      <c r="E144" s="200" t="s">
        <v>251</v>
      </c>
      <c r="F144" s="200" t="s">
        <v>242</v>
      </c>
      <c r="G144" s="200" t="s">
        <v>243</v>
      </c>
      <c r="H144" s="200" t="s">
        <v>243</v>
      </c>
      <c r="I144" s="200" t="s">
        <v>243</v>
      </c>
      <c r="J144" s="200" t="s">
        <v>243</v>
      </c>
      <c r="K144" s="200" t="s">
        <v>243</v>
      </c>
      <c r="L144" s="200" t="s">
        <v>243</v>
      </c>
      <c r="M144" s="200" t="s">
        <v>243</v>
      </c>
      <c r="N144" s="200" t="s">
        <v>243</v>
      </c>
      <c r="O144" s="299">
        <v>15</v>
      </c>
      <c r="P144" s="299">
        <v>7</v>
      </c>
      <c r="Q144" s="299">
        <v>7</v>
      </c>
      <c r="R144" s="299">
        <v>7</v>
      </c>
      <c r="S144" s="299"/>
      <c r="T144" s="200" t="s">
        <v>244</v>
      </c>
      <c r="U144" s="200" t="s">
        <v>245</v>
      </c>
      <c r="V144" s="200" t="s">
        <v>246</v>
      </c>
      <c r="W144" s="200" t="s">
        <v>247</v>
      </c>
      <c r="X144" s="200" t="s">
        <v>248</v>
      </c>
      <c r="Y144" s="202" t="s">
        <v>249</v>
      </c>
    </row>
    <row r="145" spans="1:25" ht="30" x14ac:dyDescent="0.25">
      <c r="A145" s="215">
        <v>144</v>
      </c>
      <c r="B145" s="203" t="s">
        <v>1043</v>
      </c>
      <c r="C145" s="204" t="s">
        <v>144</v>
      </c>
      <c r="D145" s="203" t="s">
        <v>250</v>
      </c>
      <c r="E145" s="203" t="s">
        <v>251</v>
      </c>
      <c r="F145" s="203" t="s">
        <v>242</v>
      </c>
      <c r="G145" s="203" t="s">
        <v>243</v>
      </c>
      <c r="H145" s="203" t="s">
        <v>243</v>
      </c>
      <c r="I145" s="203" t="s">
        <v>243</v>
      </c>
      <c r="J145" s="203" t="s">
        <v>243</v>
      </c>
      <c r="K145" s="203" t="s">
        <v>243</v>
      </c>
      <c r="L145" s="203" t="s">
        <v>243</v>
      </c>
      <c r="M145" s="203" t="s">
        <v>243</v>
      </c>
      <c r="N145" s="203" t="s">
        <v>243</v>
      </c>
      <c r="O145" s="300">
        <v>15</v>
      </c>
      <c r="P145" s="300">
        <v>7</v>
      </c>
      <c r="Q145" s="300">
        <v>7</v>
      </c>
      <c r="R145" s="300">
        <v>7</v>
      </c>
      <c r="S145" s="300"/>
      <c r="T145" s="203" t="s">
        <v>244</v>
      </c>
      <c r="U145" s="203" t="s">
        <v>245</v>
      </c>
      <c r="V145" s="203" t="s">
        <v>246</v>
      </c>
      <c r="W145" s="203" t="s">
        <v>247</v>
      </c>
      <c r="X145" s="203" t="s">
        <v>248</v>
      </c>
      <c r="Y145" s="205" t="s">
        <v>249</v>
      </c>
    </row>
    <row r="146" spans="1:25" ht="30" x14ac:dyDescent="0.25">
      <c r="A146" s="214">
        <v>145</v>
      </c>
      <c r="B146" s="200" t="s">
        <v>1044</v>
      </c>
      <c r="C146" s="201" t="s">
        <v>145</v>
      </c>
      <c r="D146" s="200" t="s">
        <v>250</v>
      </c>
      <c r="E146" s="200" t="s">
        <v>251</v>
      </c>
      <c r="F146" s="200" t="s">
        <v>242</v>
      </c>
      <c r="G146" s="200" t="s">
        <v>243</v>
      </c>
      <c r="H146" s="200" t="s">
        <v>243</v>
      </c>
      <c r="I146" s="200" t="s">
        <v>243</v>
      </c>
      <c r="J146" s="200" t="s">
        <v>243</v>
      </c>
      <c r="K146" s="200" t="s">
        <v>243</v>
      </c>
      <c r="L146" s="200" t="s">
        <v>243</v>
      </c>
      <c r="M146" s="200" t="s">
        <v>243</v>
      </c>
      <c r="N146" s="200" t="s">
        <v>243</v>
      </c>
      <c r="O146" s="299">
        <v>15</v>
      </c>
      <c r="P146" s="299">
        <v>7</v>
      </c>
      <c r="Q146" s="299">
        <v>7</v>
      </c>
      <c r="R146" s="299">
        <v>7</v>
      </c>
      <c r="S146" s="299"/>
      <c r="T146" s="200" t="s">
        <v>244</v>
      </c>
      <c r="U146" s="200" t="s">
        <v>245</v>
      </c>
      <c r="V146" s="200" t="s">
        <v>246</v>
      </c>
      <c r="W146" s="200" t="s">
        <v>247</v>
      </c>
      <c r="X146" s="200" t="s">
        <v>248</v>
      </c>
      <c r="Y146" s="202" t="s">
        <v>249</v>
      </c>
    </row>
    <row r="147" spans="1:25" ht="30" x14ac:dyDescent="0.25">
      <c r="A147" s="215">
        <v>146</v>
      </c>
      <c r="B147" s="203" t="s">
        <v>1045</v>
      </c>
      <c r="C147" s="204" t="s">
        <v>146</v>
      </c>
      <c r="D147" s="203" t="s">
        <v>250</v>
      </c>
      <c r="E147" s="203" t="s">
        <v>251</v>
      </c>
      <c r="F147" s="203" t="s">
        <v>242</v>
      </c>
      <c r="G147" s="203" t="s">
        <v>243</v>
      </c>
      <c r="H147" s="203" t="s">
        <v>243</v>
      </c>
      <c r="I147" s="203" t="s">
        <v>243</v>
      </c>
      <c r="J147" s="203" t="s">
        <v>243</v>
      </c>
      <c r="K147" s="203" t="s">
        <v>243</v>
      </c>
      <c r="L147" s="203" t="s">
        <v>243</v>
      </c>
      <c r="M147" s="203" t="s">
        <v>243</v>
      </c>
      <c r="N147" s="203" t="s">
        <v>243</v>
      </c>
      <c r="O147" s="300">
        <v>15</v>
      </c>
      <c r="P147" s="300">
        <v>7</v>
      </c>
      <c r="Q147" s="300">
        <v>7</v>
      </c>
      <c r="R147" s="300">
        <v>7</v>
      </c>
      <c r="S147" s="300"/>
      <c r="T147" s="203" t="s">
        <v>244</v>
      </c>
      <c r="U147" s="203" t="s">
        <v>245</v>
      </c>
      <c r="V147" s="203" t="s">
        <v>246</v>
      </c>
      <c r="W147" s="203" t="s">
        <v>247</v>
      </c>
      <c r="X147" s="203" t="s">
        <v>248</v>
      </c>
      <c r="Y147" s="205" t="s">
        <v>249</v>
      </c>
    </row>
    <row r="148" spans="1:25" ht="30" x14ac:dyDescent="0.25">
      <c r="A148" s="214">
        <v>147</v>
      </c>
      <c r="B148" s="200" t="s">
        <v>1046</v>
      </c>
      <c r="C148" s="201" t="s">
        <v>147</v>
      </c>
      <c r="D148" s="200" t="s">
        <v>250</v>
      </c>
      <c r="E148" s="200" t="s">
        <v>251</v>
      </c>
      <c r="F148" s="200" t="s">
        <v>242</v>
      </c>
      <c r="G148" s="200" t="s">
        <v>243</v>
      </c>
      <c r="H148" s="200" t="s">
        <v>243</v>
      </c>
      <c r="I148" s="200" t="s">
        <v>243</v>
      </c>
      <c r="J148" s="200" t="s">
        <v>243</v>
      </c>
      <c r="K148" s="200" t="s">
        <v>243</v>
      </c>
      <c r="L148" s="200" t="s">
        <v>243</v>
      </c>
      <c r="M148" s="200" t="s">
        <v>243</v>
      </c>
      <c r="N148" s="200" t="s">
        <v>243</v>
      </c>
      <c r="O148" s="299">
        <v>15</v>
      </c>
      <c r="P148" s="299">
        <v>7</v>
      </c>
      <c r="Q148" s="299">
        <v>7</v>
      </c>
      <c r="R148" s="299">
        <v>7</v>
      </c>
      <c r="S148" s="299"/>
      <c r="T148" s="200" t="s">
        <v>244</v>
      </c>
      <c r="U148" s="200" t="s">
        <v>245</v>
      </c>
      <c r="V148" s="200" t="s">
        <v>246</v>
      </c>
      <c r="W148" s="200" t="s">
        <v>247</v>
      </c>
      <c r="X148" s="200" t="s">
        <v>248</v>
      </c>
      <c r="Y148" s="202" t="s">
        <v>249</v>
      </c>
    </row>
    <row r="149" spans="1:25" ht="45" x14ac:dyDescent="0.25">
      <c r="A149" s="215">
        <v>148</v>
      </c>
      <c r="B149" s="203" t="s">
        <v>1047</v>
      </c>
      <c r="C149" s="204" t="s">
        <v>148</v>
      </c>
      <c r="D149" s="203" t="s">
        <v>250</v>
      </c>
      <c r="E149" s="203" t="s">
        <v>251</v>
      </c>
      <c r="F149" s="203" t="s">
        <v>242</v>
      </c>
      <c r="G149" s="203" t="s">
        <v>243</v>
      </c>
      <c r="H149" s="203" t="s">
        <v>243</v>
      </c>
      <c r="I149" s="203" t="s">
        <v>243</v>
      </c>
      <c r="J149" s="203" t="s">
        <v>243</v>
      </c>
      <c r="K149" s="203" t="s">
        <v>243</v>
      </c>
      <c r="L149" s="203" t="s">
        <v>243</v>
      </c>
      <c r="M149" s="203" t="s">
        <v>243</v>
      </c>
      <c r="N149" s="203" t="s">
        <v>243</v>
      </c>
      <c r="O149" s="300">
        <v>15</v>
      </c>
      <c r="P149" s="300">
        <v>7</v>
      </c>
      <c r="Q149" s="300">
        <v>7</v>
      </c>
      <c r="R149" s="300">
        <v>7</v>
      </c>
      <c r="S149" s="300"/>
      <c r="T149" s="203" t="s">
        <v>244</v>
      </c>
      <c r="U149" s="203" t="s">
        <v>245</v>
      </c>
      <c r="V149" s="203" t="s">
        <v>246</v>
      </c>
      <c r="W149" s="203" t="s">
        <v>247</v>
      </c>
      <c r="X149" s="203" t="s">
        <v>248</v>
      </c>
      <c r="Y149" s="205" t="s">
        <v>249</v>
      </c>
    </row>
    <row r="150" spans="1:25" ht="30" x14ac:dyDescent="0.25">
      <c r="A150" s="214">
        <v>149</v>
      </c>
      <c r="B150" s="200" t="s">
        <v>1048</v>
      </c>
      <c r="C150" s="201" t="s">
        <v>149</v>
      </c>
      <c r="D150" s="200" t="s">
        <v>250</v>
      </c>
      <c r="E150" s="200" t="s">
        <v>251</v>
      </c>
      <c r="F150" s="200" t="s">
        <v>242</v>
      </c>
      <c r="G150" s="200" t="s">
        <v>243</v>
      </c>
      <c r="H150" s="200" t="s">
        <v>243</v>
      </c>
      <c r="I150" s="200" t="s">
        <v>243</v>
      </c>
      <c r="J150" s="200" t="s">
        <v>243</v>
      </c>
      <c r="K150" s="200" t="s">
        <v>243</v>
      </c>
      <c r="L150" s="200" t="s">
        <v>243</v>
      </c>
      <c r="M150" s="200" t="s">
        <v>243</v>
      </c>
      <c r="N150" s="200" t="s">
        <v>243</v>
      </c>
      <c r="O150" s="299">
        <v>15</v>
      </c>
      <c r="P150" s="299">
        <v>7</v>
      </c>
      <c r="Q150" s="299">
        <v>7</v>
      </c>
      <c r="R150" s="299">
        <v>7</v>
      </c>
      <c r="S150" s="299"/>
      <c r="T150" s="200" t="s">
        <v>244</v>
      </c>
      <c r="U150" s="200" t="s">
        <v>245</v>
      </c>
      <c r="V150" s="200" t="s">
        <v>246</v>
      </c>
      <c r="W150" s="200" t="s">
        <v>247</v>
      </c>
      <c r="X150" s="200" t="s">
        <v>248</v>
      </c>
      <c r="Y150" s="202" t="s">
        <v>249</v>
      </c>
    </row>
    <row r="151" spans="1:25" x14ac:dyDescent="0.25">
      <c r="A151" s="215">
        <v>150</v>
      </c>
      <c r="B151" s="203" t="s">
        <v>1049</v>
      </c>
      <c r="C151" s="204" t="s">
        <v>150</v>
      </c>
      <c r="D151" s="203" t="s">
        <v>250</v>
      </c>
      <c r="E151" s="203" t="s">
        <v>251</v>
      </c>
      <c r="F151" s="203" t="s">
        <v>242</v>
      </c>
      <c r="G151" s="203" t="s">
        <v>243</v>
      </c>
      <c r="H151" s="203" t="s">
        <v>243</v>
      </c>
      <c r="I151" s="203" t="s">
        <v>243</v>
      </c>
      <c r="J151" s="203" t="s">
        <v>243</v>
      </c>
      <c r="K151" s="203" t="s">
        <v>243</v>
      </c>
      <c r="L151" s="203" t="s">
        <v>243</v>
      </c>
      <c r="M151" s="203" t="s">
        <v>243</v>
      </c>
      <c r="N151" s="203" t="s">
        <v>243</v>
      </c>
      <c r="O151" s="300">
        <v>15</v>
      </c>
      <c r="P151" s="300">
        <v>7</v>
      </c>
      <c r="Q151" s="300">
        <v>7</v>
      </c>
      <c r="R151" s="300">
        <v>7</v>
      </c>
      <c r="S151" s="300"/>
      <c r="T151" s="203" t="s">
        <v>244</v>
      </c>
      <c r="U151" s="203" t="s">
        <v>245</v>
      </c>
      <c r="V151" s="203" t="s">
        <v>246</v>
      </c>
      <c r="W151" s="203" t="s">
        <v>247</v>
      </c>
      <c r="X151" s="203" t="s">
        <v>248</v>
      </c>
      <c r="Y151" s="205" t="s">
        <v>249</v>
      </c>
    </row>
    <row r="152" spans="1:25" ht="30" x14ac:dyDescent="0.25">
      <c r="A152" s="214">
        <v>151</v>
      </c>
      <c r="B152" s="200" t="s">
        <v>1050</v>
      </c>
      <c r="C152" s="201" t="s">
        <v>151</v>
      </c>
      <c r="D152" s="200" t="s">
        <v>250</v>
      </c>
      <c r="E152" s="200" t="s">
        <v>251</v>
      </c>
      <c r="F152" s="200" t="s">
        <v>242</v>
      </c>
      <c r="G152" s="200" t="s">
        <v>243</v>
      </c>
      <c r="H152" s="200" t="s">
        <v>243</v>
      </c>
      <c r="I152" s="200" t="s">
        <v>243</v>
      </c>
      <c r="J152" s="200" t="s">
        <v>243</v>
      </c>
      <c r="K152" s="200" t="s">
        <v>243</v>
      </c>
      <c r="L152" s="200" t="s">
        <v>243</v>
      </c>
      <c r="M152" s="200" t="s">
        <v>243</v>
      </c>
      <c r="N152" s="200" t="s">
        <v>243</v>
      </c>
      <c r="O152" s="299">
        <v>15</v>
      </c>
      <c r="P152" s="299">
        <v>7</v>
      </c>
      <c r="Q152" s="299">
        <v>7</v>
      </c>
      <c r="R152" s="299">
        <v>7</v>
      </c>
      <c r="S152" s="299"/>
      <c r="T152" s="200" t="s">
        <v>244</v>
      </c>
      <c r="U152" s="200" t="s">
        <v>245</v>
      </c>
      <c r="V152" s="200" t="s">
        <v>246</v>
      </c>
      <c r="W152" s="200" t="s">
        <v>247</v>
      </c>
      <c r="X152" s="200" t="s">
        <v>248</v>
      </c>
      <c r="Y152" s="202" t="s">
        <v>249</v>
      </c>
    </row>
    <row r="153" spans="1:25" x14ac:dyDescent="0.25">
      <c r="A153" s="215">
        <v>152</v>
      </c>
      <c r="B153" s="203" t="s">
        <v>1051</v>
      </c>
      <c r="C153" s="204" t="s">
        <v>152</v>
      </c>
      <c r="D153" s="203" t="s">
        <v>250</v>
      </c>
      <c r="E153" s="203" t="s">
        <v>251</v>
      </c>
      <c r="F153" s="203" t="s">
        <v>242</v>
      </c>
      <c r="G153" s="203" t="s">
        <v>243</v>
      </c>
      <c r="H153" s="203" t="s">
        <v>243</v>
      </c>
      <c r="I153" s="203" t="s">
        <v>243</v>
      </c>
      <c r="J153" s="203" t="s">
        <v>243</v>
      </c>
      <c r="K153" s="203" t="s">
        <v>243</v>
      </c>
      <c r="L153" s="203" t="s">
        <v>243</v>
      </c>
      <c r="M153" s="203" t="s">
        <v>243</v>
      </c>
      <c r="N153" s="203" t="s">
        <v>243</v>
      </c>
      <c r="O153" s="300">
        <v>15</v>
      </c>
      <c r="P153" s="300">
        <v>7</v>
      </c>
      <c r="Q153" s="300">
        <v>7</v>
      </c>
      <c r="R153" s="300">
        <v>7</v>
      </c>
      <c r="S153" s="300"/>
      <c r="T153" s="203" t="s">
        <v>244</v>
      </c>
      <c r="U153" s="203" t="s">
        <v>245</v>
      </c>
      <c r="V153" s="203" t="s">
        <v>246</v>
      </c>
      <c r="W153" s="203" t="s">
        <v>247</v>
      </c>
      <c r="X153" s="203" t="s">
        <v>248</v>
      </c>
      <c r="Y153" s="205" t="s">
        <v>249</v>
      </c>
    </row>
    <row r="154" spans="1:25" x14ac:dyDescent="0.25">
      <c r="A154" s="214">
        <v>153</v>
      </c>
      <c r="B154" s="200" t="s">
        <v>1052</v>
      </c>
      <c r="C154" s="201" t="s">
        <v>153</v>
      </c>
      <c r="D154" s="200" t="s">
        <v>250</v>
      </c>
      <c r="E154" s="200" t="s">
        <v>251</v>
      </c>
      <c r="F154" s="200" t="s">
        <v>242</v>
      </c>
      <c r="G154" s="200" t="s">
        <v>243</v>
      </c>
      <c r="H154" s="200" t="s">
        <v>243</v>
      </c>
      <c r="I154" s="200" t="s">
        <v>243</v>
      </c>
      <c r="J154" s="200" t="s">
        <v>243</v>
      </c>
      <c r="K154" s="200" t="s">
        <v>243</v>
      </c>
      <c r="L154" s="200" t="s">
        <v>243</v>
      </c>
      <c r="M154" s="200" t="s">
        <v>243</v>
      </c>
      <c r="N154" s="200" t="s">
        <v>243</v>
      </c>
      <c r="O154" s="299">
        <v>15</v>
      </c>
      <c r="P154" s="299">
        <v>7</v>
      </c>
      <c r="Q154" s="299">
        <v>7</v>
      </c>
      <c r="R154" s="299">
        <v>7</v>
      </c>
      <c r="S154" s="299"/>
      <c r="T154" s="200" t="s">
        <v>244</v>
      </c>
      <c r="U154" s="200" t="s">
        <v>245</v>
      </c>
      <c r="V154" s="200" t="s">
        <v>246</v>
      </c>
      <c r="W154" s="200" t="s">
        <v>247</v>
      </c>
      <c r="X154" s="200" t="s">
        <v>248</v>
      </c>
      <c r="Y154" s="202" t="s">
        <v>249</v>
      </c>
    </row>
    <row r="155" spans="1:25" x14ac:dyDescent="0.25">
      <c r="A155" s="215">
        <v>154</v>
      </c>
      <c r="B155" s="203" t="s">
        <v>1053</v>
      </c>
      <c r="C155" s="204" t="s">
        <v>154</v>
      </c>
      <c r="D155" s="203" t="s">
        <v>250</v>
      </c>
      <c r="E155" s="203" t="s">
        <v>251</v>
      </c>
      <c r="F155" s="203" t="s">
        <v>242</v>
      </c>
      <c r="G155" s="203" t="s">
        <v>243</v>
      </c>
      <c r="H155" s="203" t="s">
        <v>243</v>
      </c>
      <c r="I155" s="203" t="s">
        <v>243</v>
      </c>
      <c r="J155" s="203" t="s">
        <v>243</v>
      </c>
      <c r="K155" s="203" t="s">
        <v>243</v>
      </c>
      <c r="L155" s="203" t="s">
        <v>243</v>
      </c>
      <c r="M155" s="203" t="s">
        <v>243</v>
      </c>
      <c r="N155" s="203" t="s">
        <v>243</v>
      </c>
      <c r="O155" s="300">
        <v>15</v>
      </c>
      <c r="P155" s="300">
        <v>7</v>
      </c>
      <c r="Q155" s="300">
        <v>7</v>
      </c>
      <c r="R155" s="300">
        <v>7</v>
      </c>
      <c r="S155" s="300"/>
      <c r="T155" s="203" t="s">
        <v>244</v>
      </c>
      <c r="U155" s="203" t="s">
        <v>245</v>
      </c>
      <c r="V155" s="203" t="s">
        <v>246</v>
      </c>
      <c r="W155" s="203" t="s">
        <v>247</v>
      </c>
      <c r="X155" s="203" t="s">
        <v>248</v>
      </c>
      <c r="Y155" s="205" t="s">
        <v>249</v>
      </c>
    </row>
    <row r="156" spans="1:25" x14ac:dyDescent="0.25">
      <c r="A156" s="214">
        <v>155</v>
      </c>
      <c r="B156" s="200" t="s">
        <v>1054</v>
      </c>
      <c r="C156" s="201" t="s">
        <v>155</v>
      </c>
      <c r="D156" s="200" t="s">
        <v>250</v>
      </c>
      <c r="E156" s="200" t="s">
        <v>251</v>
      </c>
      <c r="F156" s="200" t="s">
        <v>242</v>
      </c>
      <c r="G156" s="200" t="s">
        <v>243</v>
      </c>
      <c r="H156" s="200" t="s">
        <v>243</v>
      </c>
      <c r="I156" s="200" t="s">
        <v>243</v>
      </c>
      <c r="J156" s="200" t="s">
        <v>243</v>
      </c>
      <c r="K156" s="200" t="s">
        <v>243</v>
      </c>
      <c r="L156" s="200" t="s">
        <v>243</v>
      </c>
      <c r="M156" s="200" t="s">
        <v>243</v>
      </c>
      <c r="N156" s="200" t="s">
        <v>243</v>
      </c>
      <c r="O156" s="299">
        <v>15</v>
      </c>
      <c r="P156" s="299">
        <v>7</v>
      </c>
      <c r="Q156" s="299">
        <v>7</v>
      </c>
      <c r="R156" s="299">
        <v>7</v>
      </c>
      <c r="S156" s="299"/>
      <c r="T156" s="200" t="s">
        <v>244</v>
      </c>
      <c r="U156" s="200" t="s">
        <v>245</v>
      </c>
      <c r="V156" s="200" t="s">
        <v>246</v>
      </c>
      <c r="W156" s="200" t="s">
        <v>247</v>
      </c>
      <c r="X156" s="200" t="s">
        <v>248</v>
      </c>
      <c r="Y156" s="202" t="s">
        <v>249</v>
      </c>
    </row>
    <row r="157" spans="1:25" ht="30" x14ac:dyDescent="0.25">
      <c r="A157" s="215">
        <v>156</v>
      </c>
      <c r="B157" s="203" t="s">
        <v>1055</v>
      </c>
      <c r="C157" s="204" t="s">
        <v>156</v>
      </c>
      <c r="D157" s="203" t="s">
        <v>250</v>
      </c>
      <c r="E157" s="203" t="s">
        <v>251</v>
      </c>
      <c r="F157" s="203" t="s">
        <v>242</v>
      </c>
      <c r="G157" s="203" t="s">
        <v>243</v>
      </c>
      <c r="H157" s="203" t="s">
        <v>243</v>
      </c>
      <c r="I157" s="203" t="s">
        <v>243</v>
      </c>
      <c r="J157" s="203" t="s">
        <v>243</v>
      </c>
      <c r="K157" s="203" t="s">
        <v>243</v>
      </c>
      <c r="L157" s="203" t="s">
        <v>243</v>
      </c>
      <c r="M157" s="203" t="s">
        <v>243</v>
      </c>
      <c r="N157" s="203" t="s">
        <v>243</v>
      </c>
      <c r="O157" s="300">
        <v>15</v>
      </c>
      <c r="P157" s="300">
        <v>7</v>
      </c>
      <c r="Q157" s="300">
        <v>7</v>
      </c>
      <c r="R157" s="300">
        <v>7</v>
      </c>
      <c r="S157" s="300"/>
      <c r="T157" s="203" t="s">
        <v>244</v>
      </c>
      <c r="U157" s="203" t="s">
        <v>245</v>
      </c>
      <c r="V157" s="203" t="s">
        <v>246</v>
      </c>
      <c r="W157" s="203" t="s">
        <v>247</v>
      </c>
      <c r="X157" s="203" t="s">
        <v>248</v>
      </c>
      <c r="Y157" s="205" t="s">
        <v>249</v>
      </c>
    </row>
    <row r="158" spans="1:25" ht="30" x14ac:dyDescent="0.25">
      <c r="A158" s="214">
        <v>157</v>
      </c>
      <c r="B158" s="200" t="s">
        <v>1056</v>
      </c>
      <c r="C158" s="201" t="s">
        <v>157</v>
      </c>
      <c r="D158" s="200" t="s">
        <v>250</v>
      </c>
      <c r="E158" s="200" t="s">
        <v>251</v>
      </c>
      <c r="F158" s="200" t="s">
        <v>242</v>
      </c>
      <c r="G158" s="200" t="s">
        <v>243</v>
      </c>
      <c r="H158" s="200" t="s">
        <v>243</v>
      </c>
      <c r="I158" s="200" t="s">
        <v>243</v>
      </c>
      <c r="J158" s="200" t="s">
        <v>243</v>
      </c>
      <c r="K158" s="200" t="s">
        <v>243</v>
      </c>
      <c r="L158" s="200" t="s">
        <v>243</v>
      </c>
      <c r="M158" s="200" t="s">
        <v>243</v>
      </c>
      <c r="N158" s="200" t="s">
        <v>243</v>
      </c>
      <c r="O158" s="299">
        <v>15</v>
      </c>
      <c r="P158" s="299">
        <v>7</v>
      </c>
      <c r="Q158" s="299">
        <v>7</v>
      </c>
      <c r="R158" s="299">
        <v>7</v>
      </c>
      <c r="S158" s="299"/>
      <c r="T158" s="200" t="s">
        <v>244</v>
      </c>
      <c r="U158" s="200" t="s">
        <v>245</v>
      </c>
      <c r="V158" s="200" t="s">
        <v>246</v>
      </c>
      <c r="W158" s="200" t="s">
        <v>247</v>
      </c>
      <c r="X158" s="200" t="s">
        <v>248</v>
      </c>
      <c r="Y158" s="202" t="s">
        <v>249</v>
      </c>
    </row>
    <row r="159" spans="1:25" ht="30" x14ac:dyDescent="0.25">
      <c r="A159" s="215">
        <v>158</v>
      </c>
      <c r="B159" s="203" t="s">
        <v>1057</v>
      </c>
      <c r="C159" s="204" t="s">
        <v>158</v>
      </c>
      <c r="D159" s="203" t="s">
        <v>250</v>
      </c>
      <c r="E159" s="203" t="s">
        <v>251</v>
      </c>
      <c r="F159" s="203" t="s">
        <v>242</v>
      </c>
      <c r="G159" s="203" t="s">
        <v>243</v>
      </c>
      <c r="H159" s="203" t="s">
        <v>243</v>
      </c>
      <c r="I159" s="203" t="s">
        <v>243</v>
      </c>
      <c r="J159" s="203" t="s">
        <v>243</v>
      </c>
      <c r="K159" s="203" t="s">
        <v>243</v>
      </c>
      <c r="L159" s="203" t="s">
        <v>243</v>
      </c>
      <c r="M159" s="203" t="s">
        <v>243</v>
      </c>
      <c r="N159" s="203" t="s">
        <v>243</v>
      </c>
      <c r="O159" s="300">
        <v>15</v>
      </c>
      <c r="P159" s="300">
        <v>7</v>
      </c>
      <c r="Q159" s="300">
        <v>7</v>
      </c>
      <c r="R159" s="300">
        <v>7</v>
      </c>
      <c r="S159" s="300"/>
      <c r="T159" s="203" t="s">
        <v>244</v>
      </c>
      <c r="U159" s="203" t="s">
        <v>245</v>
      </c>
      <c r="V159" s="203" t="s">
        <v>246</v>
      </c>
      <c r="W159" s="203" t="s">
        <v>247</v>
      </c>
      <c r="X159" s="203" t="s">
        <v>248</v>
      </c>
      <c r="Y159" s="205" t="s">
        <v>249</v>
      </c>
    </row>
    <row r="160" spans="1:25" x14ac:dyDescent="0.25">
      <c r="A160" s="214">
        <v>159</v>
      </c>
      <c r="B160" s="200" t="s">
        <v>1058</v>
      </c>
      <c r="C160" s="201" t="s">
        <v>159</v>
      </c>
      <c r="D160" s="200" t="s">
        <v>250</v>
      </c>
      <c r="E160" s="200" t="s">
        <v>251</v>
      </c>
      <c r="F160" s="200" t="s">
        <v>242</v>
      </c>
      <c r="G160" s="200" t="s">
        <v>243</v>
      </c>
      <c r="H160" s="200" t="s">
        <v>243</v>
      </c>
      <c r="I160" s="200" t="s">
        <v>243</v>
      </c>
      <c r="J160" s="200" t="s">
        <v>243</v>
      </c>
      <c r="K160" s="200" t="s">
        <v>243</v>
      </c>
      <c r="L160" s="200" t="s">
        <v>243</v>
      </c>
      <c r="M160" s="200" t="s">
        <v>243</v>
      </c>
      <c r="N160" s="200" t="s">
        <v>243</v>
      </c>
      <c r="O160" s="299">
        <v>15</v>
      </c>
      <c r="P160" s="299">
        <v>7</v>
      </c>
      <c r="Q160" s="299">
        <v>7</v>
      </c>
      <c r="R160" s="299">
        <v>7</v>
      </c>
      <c r="S160" s="299"/>
      <c r="T160" s="200" t="s">
        <v>244</v>
      </c>
      <c r="U160" s="200" t="s">
        <v>245</v>
      </c>
      <c r="V160" s="200" t="s">
        <v>246</v>
      </c>
      <c r="W160" s="200" t="s">
        <v>247</v>
      </c>
      <c r="X160" s="200" t="s">
        <v>248</v>
      </c>
      <c r="Y160" s="202" t="s">
        <v>249</v>
      </c>
    </row>
    <row r="161" spans="1:25" ht="30" x14ac:dyDescent="0.25">
      <c r="A161" s="215">
        <v>160</v>
      </c>
      <c r="B161" s="203" t="s">
        <v>1059</v>
      </c>
      <c r="C161" s="204" t="s">
        <v>160</v>
      </c>
      <c r="D161" s="203" t="s">
        <v>250</v>
      </c>
      <c r="E161" s="203" t="s">
        <v>251</v>
      </c>
      <c r="F161" s="203" t="s">
        <v>242</v>
      </c>
      <c r="G161" s="203" t="s">
        <v>243</v>
      </c>
      <c r="H161" s="203" t="s">
        <v>243</v>
      </c>
      <c r="I161" s="203" t="s">
        <v>243</v>
      </c>
      <c r="J161" s="203" t="s">
        <v>243</v>
      </c>
      <c r="K161" s="203" t="s">
        <v>243</v>
      </c>
      <c r="L161" s="203" t="s">
        <v>243</v>
      </c>
      <c r="M161" s="203" t="s">
        <v>243</v>
      </c>
      <c r="N161" s="203" t="s">
        <v>243</v>
      </c>
      <c r="O161" s="300">
        <v>15</v>
      </c>
      <c r="P161" s="300">
        <v>7</v>
      </c>
      <c r="Q161" s="300">
        <v>7</v>
      </c>
      <c r="R161" s="300">
        <v>7</v>
      </c>
      <c r="S161" s="300"/>
      <c r="T161" s="203" t="s">
        <v>244</v>
      </c>
      <c r="U161" s="203" t="s">
        <v>245</v>
      </c>
      <c r="V161" s="203" t="s">
        <v>246</v>
      </c>
      <c r="W161" s="203" t="s">
        <v>247</v>
      </c>
      <c r="X161" s="203" t="s">
        <v>248</v>
      </c>
      <c r="Y161" s="205" t="s">
        <v>249</v>
      </c>
    </row>
    <row r="162" spans="1:25" x14ac:dyDescent="0.25">
      <c r="A162" s="214">
        <v>161</v>
      </c>
      <c r="B162" s="200" t="s">
        <v>1060</v>
      </c>
      <c r="C162" s="201" t="s">
        <v>161</v>
      </c>
      <c r="D162" s="200" t="s">
        <v>250</v>
      </c>
      <c r="E162" s="200" t="s">
        <v>251</v>
      </c>
      <c r="F162" s="200" t="s">
        <v>242</v>
      </c>
      <c r="G162" s="200" t="s">
        <v>243</v>
      </c>
      <c r="H162" s="200" t="s">
        <v>243</v>
      </c>
      <c r="I162" s="200" t="s">
        <v>243</v>
      </c>
      <c r="J162" s="200" t="s">
        <v>243</v>
      </c>
      <c r="K162" s="200" t="s">
        <v>243</v>
      </c>
      <c r="L162" s="200" t="s">
        <v>243</v>
      </c>
      <c r="M162" s="200" t="s">
        <v>243</v>
      </c>
      <c r="N162" s="200" t="s">
        <v>243</v>
      </c>
      <c r="O162" s="299">
        <v>15</v>
      </c>
      <c r="P162" s="299">
        <v>7</v>
      </c>
      <c r="Q162" s="299">
        <v>7</v>
      </c>
      <c r="R162" s="299">
        <v>7</v>
      </c>
      <c r="S162" s="299"/>
      <c r="T162" s="200" t="s">
        <v>244</v>
      </c>
      <c r="U162" s="200" t="s">
        <v>245</v>
      </c>
      <c r="V162" s="200" t="s">
        <v>246</v>
      </c>
      <c r="W162" s="200" t="s">
        <v>247</v>
      </c>
      <c r="X162" s="200" t="s">
        <v>248</v>
      </c>
      <c r="Y162" s="202" t="s">
        <v>249</v>
      </c>
    </row>
    <row r="163" spans="1:25" x14ac:dyDescent="0.25">
      <c r="A163" s="215">
        <v>162</v>
      </c>
      <c r="B163" s="203" t="s">
        <v>1061</v>
      </c>
      <c r="C163" s="204" t="s">
        <v>162</v>
      </c>
      <c r="D163" s="203" t="s">
        <v>250</v>
      </c>
      <c r="E163" s="203" t="s">
        <v>251</v>
      </c>
      <c r="F163" s="203" t="s">
        <v>242</v>
      </c>
      <c r="G163" s="203" t="s">
        <v>243</v>
      </c>
      <c r="H163" s="203" t="s">
        <v>243</v>
      </c>
      <c r="I163" s="203" t="s">
        <v>243</v>
      </c>
      <c r="J163" s="203" t="s">
        <v>243</v>
      </c>
      <c r="K163" s="203" t="s">
        <v>243</v>
      </c>
      <c r="L163" s="203" t="s">
        <v>243</v>
      </c>
      <c r="M163" s="203" t="s">
        <v>243</v>
      </c>
      <c r="N163" s="203" t="s">
        <v>243</v>
      </c>
      <c r="O163" s="300">
        <v>15</v>
      </c>
      <c r="P163" s="300">
        <v>7</v>
      </c>
      <c r="Q163" s="300">
        <v>7</v>
      </c>
      <c r="R163" s="300">
        <v>7</v>
      </c>
      <c r="S163" s="300"/>
      <c r="T163" s="203" t="s">
        <v>244</v>
      </c>
      <c r="U163" s="203" t="s">
        <v>245</v>
      </c>
      <c r="V163" s="203" t="s">
        <v>246</v>
      </c>
      <c r="W163" s="203" t="s">
        <v>247</v>
      </c>
      <c r="X163" s="203" t="s">
        <v>248</v>
      </c>
      <c r="Y163" s="205" t="s">
        <v>249</v>
      </c>
    </row>
    <row r="164" spans="1:25" ht="45" x14ac:dyDescent="0.25">
      <c r="A164" s="214">
        <v>163</v>
      </c>
      <c r="B164" s="200" t="s">
        <v>1062</v>
      </c>
      <c r="C164" s="201" t="s">
        <v>163</v>
      </c>
      <c r="D164" s="200" t="s">
        <v>250</v>
      </c>
      <c r="E164" s="200" t="s">
        <v>251</v>
      </c>
      <c r="F164" s="200" t="s">
        <v>242</v>
      </c>
      <c r="G164" s="200" t="s">
        <v>243</v>
      </c>
      <c r="H164" s="200" t="s">
        <v>243</v>
      </c>
      <c r="I164" s="200" t="s">
        <v>243</v>
      </c>
      <c r="J164" s="200" t="s">
        <v>243</v>
      </c>
      <c r="K164" s="200" t="s">
        <v>243</v>
      </c>
      <c r="L164" s="200" t="s">
        <v>243</v>
      </c>
      <c r="M164" s="200" t="s">
        <v>243</v>
      </c>
      <c r="N164" s="200" t="s">
        <v>243</v>
      </c>
      <c r="O164" s="299">
        <v>15</v>
      </c>
      <c r="P164" s="299">
        <v>7</v>
      </c>
      <c r="Q164" s="299">
        <v>7</v>
      </c>
      <c r="R164" s="299">
        <v>7</v>
      </c>
      <c r="S164" s="299"/>
      <c r="T164" s="200" t="s">
        <v>244</v>
      </c>
      <c r="U164" s="200" t="s">
        <v>245</v>
      </c>
      <c r="V164" s="200" t="s">
        <v>246</v>
      </c>
      <c r="W164" s="200" t="s">
        <v>247</v>
      </c>
      <c r="X164" s="200" t="s">
        <v>248</v>
      </c>
      <c r="Y164" s="202" t="s">
        <v>249</v>
      </c>
    </row>
    <row r="165" spans="1:25" x14ac:dyDescent="0.25">
      <c r="A165" s="215">
        <v>164</v>
      </c>
      <c r="B165" s="203" t="s">
        <v>1063</v>
      </c>
      <c r="C165" s="204" t="s">
        <v>164</v>
      </c>
      <c r="D165" s="203" t="s">
        <v>250</v>
      </c>
      <c r="E165" s="203" t="s">
        <v>251</v>
      </c>
      <c r="F165" s="203" t="s">
        <v>242</v>
      </c>
      <c r="G165" s="203" t="s">
        <v>243</v>
      </c>
      <c r="H165" s="203" t="s">
        <v>243</v>
      </c>
      <c r="I165" s="203" t="s">
        <v>243</v>
      </c>
      <c r="J165" s="203" t="s">
        <v>243</v>
      </c>
      <c r="K165" s="203" t="s">
        <v>243</v>
      </c>
      <c r="L165" s="203" t="s">
        <v>243</v>
      </c>
      <c r="M165" s="203" t="s">
        <v>243</v>
      </c>
      <c r="N165" s="203" t="s">
        <v>243</v>
      </c>
      <c r="O165" s="300">
        <v>15</v>
      </c>
      <c r="P165" s="300">
        <v>7</v>
      </c>
      <c r="Q165" s="300">
        <v>7</v>
      </c>
      <c r="R165" s="300">
        <v>7</v>
      </c>
      <c r="S165" s="300"/>
      <c r="T165" s="203" t="s">
        <v>244</v>
      </c>
      <c r="U165" s="203" t="s">
        <v>245</v>
      </c>
      <c r="V165" s="203" t="s">
        <v>246</v>
      </c>
      <c r="W165" s="203" t="s">
        <v>247</v>
      </c>
      <c r="X165" s="203" t="s">
        <v>248</v>
      </c>
      <c r="Y165" s="205" t="s">
        <v>249</v>
      </c>
    </row>
    <row r="166" spans="1:25" x14ac:dyDescent="0.25">
      <c r="A166" s="214">
        <v>165</v>
      </c>
      <c r="B166" s="200" t="s">
        <v>1064</v>
      </c>
      <c r="C166" s="201" t="s">
        <v>165</v>
      </c>
      <c r="D166" s="200" t="s">
        <v>250</v>
      </c>
      <c r="E166" s="200" t="s">
        <v>251</v>
      </c>
      <c r="F166" s="200" t="s">
        <v>242</v>
      </c>
      <c r="G166" s="200" t="s">
        <v>243</v>
      </c>
      <c r="H166" s="200" t="s">
        <v>243</v>
      </c>
      <c r="I166" s="200" t="s">
        <v>243</v>
      </c>
      <c r="J166" s="200" t="s">
        <v>243</v>
      </c>
      <c r="K166" s="200" t="s">
        <v>243</v>
      </c>
      <c r="L166" s="200" t="s">
        <v>243</v>
      </c>
      <c r="M166" s="200" t="s">
        <v>243</v>
      </c>
      <c r="N166" s="200" t="s">
        <v>243</v>
      </c>
      <c r="O166" s="299">
        <v>15</v>
      </c>
      <c r="P166" s="299">
        <v>7</v>
      </c>
      <c r="Q166" s="299">
        <v>7</v>
      </c>
      <c r="R166" s="299">
        <v>7</v>
      </c>
      <c r="S166" s="299"/>
      <c r="T166" s="200" t="s">
        <v>244</v>
      </c>
      <c r="U166" s="200" t="s">
        <v>245</v>
      </c>
      <c r="V166" s="200" t="s">
        <v>246</v>
      </c>
      <c r="W166" s="200" t="s">
        <v>247</v>
      </c>
      <c r="X166" s="200" t="s">
        <v>248</v>
      </c>
      <c r="Y166" s="202" t="s">
        <v>249</v>
      </c>
    </row>
    <row r="167" spans="1:25" ht="30" x14ac:dyDescent="0.25">
      <c r="A167" s="215">
        <v>166</v>
      </c>
      <c r="B167" s="203" t="s">
        <v>1065</v>
      </c>
      <c r="C167" s="204" t="s">
        <v>166</v>
      </c>
      <c r="D167" s="203" t="s">
        <v>250</v>
      </c>
      <c r="E167" s="203" t="s">
        <v>251</v>
      </c>
      <c r="F167" s="203" t="s">
        <v>242</v>
      </c>
      <c r="G167" s="203" t="s">
        <v>243</v>
      </c>
      <c r="H167" s="203" t="s">
        <v>243</v>
      </c>
      <c r="I167" s="203" t="s">
        <v>243</v>
      </c>
      <c r="J167" s="203" t="s">
        <v>243</v>
      </c>
      <c r="K167" s="203" t="s">
        <v>243</v>
      </c>
      <c r="L167" s="203" t="s">
        <v>243</v>
      </c>
      <c r="M167" s="203" t="s">
        <v>243</v>
      </c>
      <c r="N167" s="203" t="s">
        <v>243</v>
      </c>
      <c r="O167" s="300">
        <v>15</v>
      </c>
      <c r="P167" s="300">
        <v>7</v>
      </c>
      <c r="Q167" s="300">
        <v>7</v>
      </c>
      <c r="R167" s="300">
        <v>7</v>
      </c>
      <c r="S167" s="300"/>
      <c r="T167" s="203" t="s">
        <v>244</v>
      </c>
      <c r="U167" s="203" t="s">
        <v>245</v>
      </c>
      <c r="V167" s="203" t="s">
        <v>246</v>
      </c>
      <c r="W167" s="203" t="s">
        <v>247</v>
      </c>
      <c r="X167" s="203" t="s">
        <v>248</v>
      </c>
      <c r="Y167" s="205" t="s">
        <v>249</v>
      </c>
    </row>
    <row r="168" spans="1:25" ht="30" x14ac:dyDescent="0.25">
      <c r="A168" s="214">
        <v>167</v>
      </c>
      <c r="B168" s="200" t="s">
        <v>1066</v>
      </c>
      <c r="C168" s="201" t="s">
        <v>167</v>
      </c>
      <c r="D168" s="200" t="s">
        <v>250</v>
      </c>
      <c r="E168" s="200" t="s">
        <v>251</v>
      </c>
      <c r="F168" s="200" t="s">
        <v>242</v>
      </c>
      <c r="G168" s="200" t="s">
        <v>243</v>
      </c>
      <c r="H168" s="200" t="s">
        <v>243</v>
      </c>
      <c r="I168" s="200" t="s">
        <v>243</v>
      </c>
      <c r="J168" s="200" t="s">
        <v>243</v>
      </c>
      <c r="K168" s="200" t="s">
        <v>243</v>
      </c>
      <c r="L168" s="200" t="s">
        <v>243</v>
      </c>
      <c r="M168" s="200" t="s">
        <v>243</v>
      </c>
      <c r="N168" s="200" t="s">
        <v>243</v>
      </c>
      <c r="O168" s="299">
        <v>15</v>
      </c>
      <c r="P168" s="299">
        <v>7</v>
      </c>
      <c r="Q168" s="299">
        <v>7</v>
      </c>
      <c r="R168" s="299">
        <v>7</v>
      </c>
      <c r="S168" s="299"/>
      <c r="T168" s="200" t="s">
        <v>244</v>
      </c>
      <c r="U168" s="200" t="s">
        <v>245</v>
      </c>
      <c r="V168" s="200" t="s">
        <v>246</v>
      </c>
      <c r="W168" s="200" t="s">
        <v>247</v>
      </c>
      <c r="X168" s="200" t="s">
        <v>248</v>
      </c>
      <c r="Y168" s="202" t="s">
        <v>249</v>
      </c>
    </row>
    <row r="169" spans="1:25" s="4" customFormat="1" x14ac:dyDescent="0.25">
      <c r="A169" s="215">
        <v>168</v>
      </c>
      <c r="B169" s="203" t="s">
        <v>1067</v>
      </c>
      <c r="C169" s="204" t="s">
        <v>168</v>
      </c>
      <c r="D169" s="203" t="s">
        <v>328</v>
      </c>
      <c r="E169" s="203" t="s">
        <v>241</v>
      </c>
      <c r="F169" s="203" t="s">
        <v>242</v>
      </c>
      <c r="G169" s="203" t="s">
        <v>311</v>
      </c>
      <c r="H169" s="203" t="s">
        <v>311</v>
      </c>
      <c r="I169" s="203" t="s">
        <v>243</v>
      </c>
      <c r="J169" s="203" t="s">
        <v>243</v>
      </c>
      <c r="K169" s="203" t="s">
        <v>243</v>
      </c>
      <c r="L169" s="203" t="s">
        <v>243</v>
      </c>
      <c r="M169" s="203" t="s">
        <v>243</v>
      </c>
      <c r="N169" s="203" t="s">
        <v>243</v>
      </c>
      <c r="O169" s="300">
        <v>5</v>
      </c>
      <c r="P169" s="300">
        <v>5</v>
      </c>
      <c r="Q169" s="300">
        <v>12</v>
      </c>
      <c r="R169" s="300">
        <v>5</v>
      </c>
      <c r="S169" s="300">
        <v>1</v>
      </c>
      <c r="T169" s="203" t="s">
        <v>244</v>
      </c>
      <c r="U169" s="203" t="s">
        <v>245</v>
      </c>
      <c r="V169" s="203" t="s">
        <v>246</v>
      </c>
      <c r="W169" s="203" t="s">
        <v>365</v>
      </c>
      <c r="X169" s="203" t="s">
        <v>248</v>
      </c>
      <c r="Y169" s="205" t="s">
        <v>249</v>
      </c>
    </row>
    <row r="170" spans="1:25" x14ac:dyDescent="0.25">
      <c r="A170" s="214">
        <v>169</v>
      </c>
      <c r="B170" s="200" t="s">
        <v>1068</v>
      </c>
      <c r="C170" s="201" t="s">
        <v>169</v>
      </c>
      <c r="D170" s="200" t="s">
        <v>250</v>
      </c>
      <c r="E170" s="200" t="s">
        <v>251</v>
      </c>
      <c r="F170" s="200" t="s">
        <v>242</v>
      </c>
      <c r="G170" s="200" t="s">
        <v>243</v>
      </c>
      <c r="H170" s="200" t="s">
        <v>243</v>
      </c>
      <c r="I170" s="200" t="s">
        <v>243</v>
      </c>
      <c r="J170" s="200" t="s">
        <v>243</v>
      </c>
      <c r="K170" s="200" t="s">
        <v>243</v>
      </c>
      <c r="L170" s="200" t="s">
        <v>243</v>
      </c>
      <c r="M170" s="200" t="s">
        <v>243</v>
      </c>
      <c r="N170" s="200" t="s">
        <v>243</v>
      </c>
      <c r="O170" s="299">
        <v>15</v>
      </c>
      <c r="P170" s="299">
        <v>7</v>
      </c>
      <c r="Q170" s="299">
        <v>7</v>
      </c>
      <c r="R170" s="299">
        <v>7</v>
      </c>
      <c r="S170" s="299"/>
      <c r="T170" s="200" t="s">
        <v>244</v>
      </c>
      <c r="U170" s="200" t="s">
        <v>245</v>
      </c>
      <c r="V170" s="200" t="s">
        <v>246</v>
      </c>
      <c r="W170" s="200" t="s">
        <v>247</v>
      </c>
      <c r="X170" s="200" t="s">
        <v>248</v>
      </c>
      <c r="Y170" s="202" t="s">
        <v>249</v>
      </c>
    </row>
    <row r="171" spans="1:25" ht="30" x14ac:dyDescent="0.25">
      <c r="A171" s="215">
        <v>170</v>
      </c>
      <c r="B171" s="203" t="s">
        <v>1069</v>
      </c>
      <c r="C171" s="204" t="s">
        <v>170</v>
      </c>
      <c r="D171" s="203" t="s">
        <v>250</v>
      </c>
      <c r="E171" s="203" t="s">
        <v>251</v>
      </c>
      <c r="F171" s="203" t="s">
        <v>242</v>
      </c>
      <c r="G171" s="203" t="s">
        <v>243</v>
      </c>
      <c r="H171" s="203" t="s">
        <v>243</v>
      </c>
      <c r="I171" s="203" t="s">
        <v>243</v>
      </c>
      <c r="J171" s="203" t="s">
        <v>243</v>
      </c>
      <c r="K171" s="203" t="s">
        <v>243</v>
      </c>
      <c r="L171" s="203" t="s">
        <v>243</v>
      </c>
      <c r="M171" s="203" t="s">
        <v>243</v>
      </c>
      <c r="N171" s="203" t="s">
        <v>243</v>
      </c>
      <c r="O171" s="300">
        <v>15</v>
      </c>
      <c r="P171" s="300">
        <v>7</v>
      </c>
      <c r="Q171" s="300">
        <v>7</v>
      </c>
      <c r="R171" s="300">
        <v>7</v>
      </c>
      <c r="S171" s="300"/>
      <c r="T171" s="203" t="s">
        <v>244</v>
      </c>
      <c r="U171" s="203" t="s">
        <v>245</v>
      </c>
      <c r="V171" s="203" t="s">
        <v>246</v>
      </c>
      <c r="W171" s="203" t="s">
        <v>247</v>
      </c>
      <c r="X171" s="203" t="s">
        <v>248</v>
      </c>
      <c r="Y171" s="205" t="s">
        <v>249</v>
      </c>
    </row>
    <row r="172" spans="1:25" ht="30" x14ac:dyDescent="0.25">
      <c r="A172" s="214">
        <v>171</v>
      </c>
      <c r="B172" s="200" t="s">
        <v>1070</v>
      </c>
      <c r="C172" s="201" t="s">
        <v>171</v>
      </c>
      <c r="D172" s="200" t="s">
        <v>250</v>
      </c>
      <c r="E172" s="200" t="s">
        <v>251</v>
      </c>
      <c r="F172" s="200" t="s">
        <v>242</v>
      </c>
      <c r="G172" s="200" t="s">
        <v>243</v>
      </c>
      <c r="H172" s="200" t="s">
        <v>243</v>
      </c>
      <c r="I172" s="200" t="s">
        <v>243</v>
      </c>
      <c r="J172" s="200" t="s">
        <v>243</v>
      </c>
      <c r="K172" s="200" t="s">
        <v>243</v>
      </c>
      <c r="L172" s="200" t="s">
        <v>243</v>
      </c>
      <c r="M172" s="200" t="s">
        <v>243</v>
      </c>
      <c r="N172" s="200" t="s">
        <v>243</v>
      </c>
      <c r="O172" s="299">
        <v>15</v>
      </c>
      <c r="P172" s="299">
        <v>7</v>
      </c>
      <c r="Q172" s="299">
        <v>7</v>
      </c>
      <c r="R172" s="299">
        <v>7</v>
      </c>
      <c r="S172" s="299"/>
      <c r="T172" s="200" t="s">
        <v>244</v>
      </c>
      <c r="U172" s="200" t="s">
        <v>245</v>
      </c>
      <c r="V172" s="200" t="s">
        <v>246</v>
      </c>
      <c r="W172" s="200" t="s">
        <v>247</v>
      </c>
      <c r="X172" s="200" t="s">
        <v>248</v>
      </c>
      <c r="Y172" s="202" t="s">
        <v>249</v>
      </c>
    </row>
    <row r="173" spans="1:25" x14ac:dyDescent="0.25">
      <c r="A173" s="215">
        <v>172</v>
      </c>
      <c r="B173" s="203" t="s">
        <v>1071</v>
      </c>
      <c r="C173" s="204" t="s">
        <v>172</v>
      </c>
      <c r="D173" s="203" t="s">
        <v>250</v>
      </c>
      <c r="E173" s="203" t="s">
        <v>251</v>
      </c>
      <c r="F173" s="203" t="s">
        <v>242</v>
      </c>
      <c r="G173" s="203" t="s">
        <v>243</v>
      </c>
      <c r="H173" s="203" t="s">
        <v>243</v>
      </c>
      <c r="I173" s="203" t="s">
        <v>243</v>
      </c>
      <c r="J173" s="203" t="s">
        <v>243</v>
      </c>
      <c r="K173" s="203" t="s">
        <v>243</v>
      </c>
      <c r="L173" s="203" t="s">
        <v>243</v>
      </c>
      <c r="M173" s="203" t="s">
        <v>243</v>
      </c>
      <c r="N173" s="203" t="s">
        <v>243</v>
      </c>
      <c r="O173" s="300">
        <v>15</v>
      </c>
      <c r="P173" s="300">
        <v>7</v>
      </c>
      <c r="Q173" s="300">
        <v>7</v>
      </c>
      <c r="R173" s="300">
        <v>7</v>
      </c>
      <c r="S173" s="300"/>
      <c r="T173" s="203" t="s">
        <v>244</v>
      </c>
      <c r="U173" s="203" t="s">
        <v>245</v>
      </c>
      <c r="V173" s="203" t="s">
        <v>246</v>
      </c>
      <c r="W173" s="203" t="s">
        <v>247</v>
      </c>
      <c r="X173" s="203" t="s">
        <v>248</v>
      </c>
      <c r="Y173" s="205" t="s">
        <v>249</v>
      </c>
    </row>
    <row r="174" spans="1:25" ht="30" x14ac:dyDescent="0.25">
      <c r="A174" s="214">
        <v>173</v>
      </c>
      <c r="B174" s="200" t="s">
        <v>1072</v>
      </c>
      <c r="C174" s="201" t="s">
        <v>173</v>
      </c>
      <c r="D174" s="200" t="s">
        <v>250</v>
      </c>
      <c r="E174" s="200" t="s">
        <v>251</v>
      </c>
      <c r="F174" s="200" t="s">
        <v>242</v>
      </c>
      <c r="G174" s="200" t="s">
        <v>243</v>
      </c>
      <c r="H174" s="200" t="s">
        <v>243</v>
      </c>
      <c r="I174" s="200" t="s">
        <v>243</v>
      </c>
      <c r="J174" s="200" t="s">
        <v>243</v>
      </c>
      <c r="K174" s="200" t="s">
        <v>243</v>
      </c>
      <c r="L174" s="200" t="s">
        <v>243</v>
      </c>
      <c r="M174" s="200" t="s">
        <v>243</v>
      </c>
      <c r="N174" s="200" t="s">
        <v>243</v>
      </c>
      <c r="O174" s="299">
        <v>15</v>
      </c>
      <c r="P174" s="299">
        <v>7</v>
      </c>
      <c r="Q174" s="299">
        <v>7</v>
      </c>
      <c r="R174" s="299">
        <v>7</v>
      </c>
      <c r="S174" s="299"/>
      <c r="T174" s="200" t="s">
        <v>244</v>
      </c>
      <c r="U174" s="200" t="s">
        <v>245</v>
      </c>
      <c r="V174" s="200" t="s">
        <v>246</v>
      </c>
      <c r="W174" s="200" t="s">
        <v>247</v>
      </c>
      <c r="X174" s="200" t="s">
        <v>248</v>
      </c>
      <c r="Y174" s="202" t="s">
        <v>249</v>
      </c>
    </row>
    <row r="175" spans="1:25" x14ac:dyDescent="0.25">
      <c r="A175" s="215">
        <v>174</v>
      </c>
      <c r="B175" s="203" t="s">
        <v>1073</v>
      </c>
      <c r="C175" s="204" t="s">
        <v>174</v>
      </c>
      <c r="D175" s="203" t="s">
        <v>250</v>
      </c>
      <c r="E175" s="203" t="s">
        <v>251</v>
      </c>
      <c r="F175" s="203" t="s">
        <v>242</v>
      </c>
      <c r="G175" s="203" t="s">
        <v>243</v>
      </c>
      <c r="H175" s="203" t="s">
        <v>243</v>
      </c>
      <c r="I175" s="203" t="s">
        <v>243</v>
      </c>
      <c r="J175" s="203" t="s">
        <v>243</v>
      </c>
      <c r="K175" s="203" t="s">
        <v>243</v>
      </c>
      <c r="L175" s="203" t="s">
        <v>243</v>
      </c>
      <c r="M175" s="203" t="s">
        <v>243</v>
      </c>
      <c r="N175" s="203" t="s">
        <v>243</v>
      </c>
      <c r="O175" s="300">
        <v>15</v>
      </c>
      <c r="P175" s="300">
        <v>7</v>
      </c>
      <c r="Q175" s="300">
        <v>7</v>
      </c>
      <c r="R175" s="300">
        <v>7</v>
      </c>
      <c r="S175" s="300"/>
      <c r="T175" s="203" t="s">
        <v>244</v>
      </c>
      <c r="U175" s="203" t="s">
        <v>245</v>
      </c>
      <c r="V175" s="203" t="s">
        <v>246</v>
      </c>
      <c r="W175" s="203" t="s">
        <v>247</v>
      </c>
      <c r="X175" s="203" t="s">
        <v>248</v>
      </c>
      <c r="Y175" s="205" t="s">
        <v>249</v>
      </c>
    </row>
    <row r="176" spans="1:25" ht="45" x14ac:dyDescent="0.25">
      <c r="A176" s="214">
        <v>175</v>
      </c>
      <c r="B176" s="200" t="s">
        <v>1074</v>
      </c>
      <c r="C176" s="201" t="s">
        <v>175</v>
      </c>
      <c r="D176" s="200" t="s">
        <v>250</v>
      </c>
      <c r="E176" s="200" t="s">
        <v>251</v>
      </c>
      <c r="F176" s="200" t="s">
        <v>242</v>
      </c>
      <c r="G176" s="200" t="s">
        <v>243</v>
      </c>
      <c r="H176" s="200" t="s">
        <v>243</v>
      </c>
      <c r="I176" s="200" t="s">
        <v>243</v>
      </c>
      <c r="J176" s="200" t="s">
        <v>243</v>
      </c>
      <c r="K176" s="200" t="s">
        <v>243</v>
      </c>
      <c r="L176" s="200" t="s">
        <v>243</v>
      </c>
      <c r="M176" s="200" t="s">
        <v>243</v>
      </c>
      <c r="N176" s="200" t="s">
        <v>243</v>
      </c>
      <c r="O176" s="299">
        <v>15</v>
      </c>
      <c r="P176" s="299">
        <v>7</v>
      </c>
      <c r="Q176" s="299">
        <v>7</v>
      </c>
      <c r="R176" s="299">
        <v>7</v>
      </c>
      <c r="S176" s="299"/>
      <c r="T176" s="200" t="s">
        <v>244</v>
      </c>
      <c r="U176" s="200" t="s">
        <v>245</v>
      </c>
      <c r="V176" s="200" t="s">
        <v>246</v>
      </c>
      <c r="W176" s="200" t="s">
        <v>247</v>
      </c>
      <c r="X176" s="200" t="s">
        <v>248</v>
      </c>
      <c r="Y176" s="202" t="s">
        <v>249</v>
      </c>
    </row>
    <row r="177" spans="1:25" x14ac:dyDescent="0.25">
      <c r="A177" s="215">
        <v>176</v>
      </c>
      <c r="B177" s="203" t="s">
        <v>1075</v>
      </c>
      <c r="C177" s="204" t="s">
        <v>176</v>
      </c>
      <c r="D177" s="203" t="s">
        <v>250</v>
      </c>
      <c r="E177" s="203" t="s">
        <v>251</v>
      </c>
      <c r="F177" s="203" t="s">
        <v>242</v>
      </c>
      <c r="G177" s="203" t="s">
        <v>243</v>
      </c>
      <c r="H177" s="203" t="s">
        <v>243</v>
      </c>
      <c r="I177" s="203" t="s">
        <v>243</v>
      </c>
      <c r="J177" s="203" t="s">
        <v>243</v>
      </c>
      <c r="K177" s="203" t="s">
        <v>243</v>
      </c>
      <c r="L177" s="203" t="s">
        <v>243</v>
      </c>
      <c r="M177" s="203" t="s">
        <v>243</v>
      </c>
      <c r="N177" s="203" t="s">
        <v>243</v>
      </c>
      <c r="O177" s="300">
        <v>15</v>
      </c>
      <c r="P177" s="300">
        <v>7</v>
      </c>
      <c r="Q177" s="300">
        <v>7</v>
      </c>
      <c r="R177" s="300">
        <v>7</v>
      </c>
      <c r="S177" s="300"/>
      <c r="T177" s="203" t="s">
        <v>244</v>
      </c>
      <c r="U177" s="203" t="s">
        <v>245</v>
      </c>
      <c r="V177" s="203" t="s">
        <v>246</v>
      </c>
      <c r="W177" s="203" t="s">
        <v>247</v>
      </c>
      <c r="X177" s="203" t="s">
        <v>248</v>
      </c>
      <c r="Y177" s="205" t="s">
        <v>249</v>
      </c>
    </row>
    <row r="178" spans="1:25" ht="30" x14ac:dyDescent="0.25">
      <c r="A178" s="214">
        <v>177</v>
      </c>
      <c r="B178" s="200" t="s">
        <v>1076</v>
      </c>
      <c r="C178" s="201" t="s">
        <v>177</v>
      </c>
      <c r="D178" s="200" t="s">
        <v>250</v>
      </c>
      <c r="E178" s="200" t="s">
        <v>251</v>
      </c>
      <c r="F178" s="200" t="s">
        <v>242</v>
      </c>
      <c r="G178" s="200" t="s">
        <v>243</v>
      </c>
      <c r="H178" s="200" t="s">
        <v>243</v>
      </c>
      <c r="I178" s="200" t="s">
        <v>243</v>
      </c>
      <c r="J178" s="200" t="s">
        <v>243</v>
      </c>
      <c r="K178" s="200" t="s">
        <v>243</v>
      </c>
      <c r="L178" s="200" t="s">
        <v>243</v>
      </c>
      <c r="M178" s="200" t="s">
        <v>243</v>
      </c>
      <c r="N178" s="200" t="s">
        <v>243</v>
      </c>
      <c r="O178" s="299">
        <v>15</v>
      </c>
      <c r="P178" s="299">
        <v>7</v>
      </c>
      <c r="Q178" s="299">
        <v>7</v>
      </c>
      <c r="R178" s="299">
        <v>7</v>
      </c>
      <c r="S178" s="299"/>
      <c r="T178" s="200" t="s">
        <v>244</v>
      </c>
      <c r="U178" s="200" t="s">
        <v>245</v>
      </c>
      <c r="V178" s="200" t="s">
        <v>246</v>
      </c>
      <c r="W178" s="200" t="s">
        <v>247</v>
      </c>
      <c r="X178" s="200" t="s">
        <v>248</v>
      </c>
      <c r="Y178" s="202" t="s">
        <v>249</v>
      </c>
    </row>
    <row r="179" spans="1:25" ht="45" x14ac:dyDescent="0.25">
      <c r="A179" s="215">
        <v>178</v>
      </c>
      <c r="B179" s="203" t="s">
        <v>1077</v>
      </c>
      <c r="C179" s="204" t="s">
        <v>178</v>
      </c>
      <c r="D179" s="203" t="s">
        <v>250</v>
      </c>
      <c r="E179" s="203" t="s">
        <v>251</v>
      </c>
      <c r="F179" s="203" t="s">
        <v>242</v>
      </c>
      <c r="G179" s="203" t="s">
        <v>243</v>
      </c>
      <c r="H179" s="203" t="s">
        <v>243</v>
      </c>
      <c r="I179" s="203" t="s">
        <v>243</v>
      </c>
      <c r="J179" s="203" t="s">
        <v>243</v>
      </c>
      <c r="K179" s="203" t="s">
        <v>243</v>
      </c>
      <c r="L179" s="203" t="s">
        <v>243</v>
      </c>
      <c r="M179" s="203" t="s">
        <v>243</v>
      </c>
      <c r="N179" s="203" t="s">
        <v>243</v>
      </c>
      <c r="O179" s="300">
        <v>15</v>
      </c>
      <c r="P179" s="300">
        <v>7</v>
      </c>
      <c r="Q179" s="300">
        <v>7</v>
      </c>
      <c r="R179" s="300">
        <v>7</v>
      </c>
      <c r="S179" s="300"/>
      <c r="T179" s="203" t="s">
        <v>244</v>
      </c>
      <c r="U179" s="203" t="s">
        <v>245</v>
      </c>
      <c r="V179" s="203" t="s">
        <v>246</v>
      </c>
      <c r="W179" s="203" t="s">
        <v>247</v>
      </c>
      <c r="X179" s="203" t="s">
        <v>248</v>
      </c>
      <c r="Y179" s="205" t="s">
        <v>249</v>
      </c>
    </row>
    <row r="180" spans="1:25" ht="30" x14ac:dyDescent="0.25">
      <c r="A180" s="214">
        <v>179</v>
      </c>
      <c r="B180" s="200" t="s">
        <v>1078</v>
      </c>
      <c r="C180" s="201" t="s">
        <v>179</v>
      </c>
      <c r="D180" s="200" t="s">
        <v>250</v>
      </c>
      <c r="E180" s="200" t="s">
        <v>251</v>
      </c>
      <c r="F180" s="200" t="s">
        <v>242</v>
      </c>
      <c r="G180" s="200" t="s">
        <v>243</v>
      </c>
      <c r="H180" s="200" t="s">
        <v>243</v>
      </c>
      <c r="I180" s="200" t="s">
        <v>243</v>
      </c>
      <c r="J180" s="200" t="s">
        <v>243</v>
      </c>
      <c r="K180" s="200" t="s">
        <v>243</v>
      </c>
      <c r="L180" s="200" t="s">
        <v>243</v>
      </c>
      <c r="M180" s="200" t="s">
        <v>243</v>
      </c>
      <c r="N180" s="200" t="s">
        <v>243</v>
      </c>
      <c r="O180" s="299">
        <v>15</v>
      </c>
      <c r="P180" s="299">
        <v>7</v>
      </c>
      <c r="Q180" s="299">
        <v>7</v>
      </c>
      <c r="R180" s="299">
        <v>7</v>
      </c>
      <c r="S180" s="299"/>
      <c r="T180" s="200" t="s">
        <v>244</v>
      </c>
      <c r="U180" s="200" t="s">
        <v>245</v>
      </c>
      <c r="V180" s="200" t="s">
        <v>246</v>
      </c>
      <c r="W180" s="200" t="s">
        <v>247</v>
      </c>
      <c r="X180" s="200" t="s">
        <v>248</v>
      </c>
      <c r="Y180" s="202" t="s">
        <v>249</v>
      </c>
    </row>
    <row r="181" spans="1:25" s="4" customFormat="1" x14ac:dyDescent="0.25">
      <c r="A181" s="215">
        <v>180</v>
      </c>
      <c r="B181" s="203" t="s">
        <v>1079</v>
      </c>
      <c r="C181" s="204" t="s">
        <v>180</v>
      </c>
      <c r="D181" s="203" t="s">
        <v>366</v>
      </c>
      <c r="E181" s="203" t="s">
        <v>241</v>
      </c>
      <c r="F181" s="203" t="s">
        <v>242</v>
      </c>
      <c r="G181" s="203" t="s">
        <v>243</v>
      </c>
      <c r="H181" s="203" t="s">
        <v>243</v>
      </c>
      <c r="I181" s="203" t="s">
        <v>243</v>
      </c>
      <c r="J181" s="203" t="s">
        <v>243</v>
      </c>
      <c r="K181" s="203" t="s">
        <v>243</v>
      </c>
      <c r="L181" s="203" t="s">
        <v>243</v>
      </c>
      <c r="M181" s="203" t="s">
        <v>243</v>
      </c>
      <c r="N181" s="203" t="s">
        <v>243</v>
      </c>
      <c r="O181" s="300">
        <v>15</v>
      </c>
      <c r="P181" s="300">
        <v>5</v>
      </c>
      <c r="Q181" s="300">
        <v>5</v>
      </c>
      <c r="R181" s="300">
        <v>5</v>
      </c>
      <c r="S181" s="300">
        <v>1</v>
      </c>
      <c r="T181" s="203" t="s">
        <v>244</v>
      </c>
      <c r="U181" s="203" t="s">
        <v>245</v>
      </c>
      <c r="V181" s="203" t="s">
        <v>246</v>
      </c>
      <c r="W181" s="203" t="s">
        <v>367</v>
      </c>
      <c r="X181" s="203" t="s">
        <v>248</v>
      </c>
      <c r="Y181" s="205" t="s">
        <v>368</v>
      </c>
    </row>
    <row r="182" spans="1:25" x14ac:dyDescent="0.25">
      <c r="A182" s="214">
        <v>181</v>
      </c>
      <c r="B182" s="200" t="s">
        <v>1080</v>
      </c>
      <c r="C182" s="201" t="s">
        <v>181</v>
      </c>
      <c r="D182" s="200" t="s">
        <v>250</v>
      </c>
      <c r="E182" s="200" t="s">
        <v>251</v>
      </c>
      <c r="F182" s="200" t="s">
        <v>242</v>
      </c>
      <c r="G182" s="200" t="s">
        <v>243</v>
      </c>
      <c r="H182" s="200" t="s">
        <v>243</v>
      </c>
      <c r="I182" s="200" t="s">
        <v>243</v>
      </c>
      <c r="J182" s="200" t="s">
        <v>243</v>
      </c>
      <c r="K182" s="200" t="s">
        <v>243</v>
      </c>
      <c r="L182" s="200" t="s">
        <v>243</v>
      </c>
      <c r="M182" s="200" t="s">
        <v>243</v>
      </c>
      <c r="N182" s="200" t="s">
        <v>243</v>
      </c>
      <c r="O182" s="299">
        <v>15</v>
      </c>
      <c r="P182" s="299">
        <v>7</v>
      </c>
      <c r="Q182" s="299">
        <v>7</v>
      </c>
      <c r="R182" s="299">
        <v>7</v>
      </c>
      <c r="S182" s="299"/>
      <c r="T182" s="200" t="s">
        <v>244</v>
      </c>
      <c r="U182" s="200" t="s">
        <v>245</v>
      </c>
      <c r="V182" s="200" t="s">
        <v>246</v>
      </c>
      <c r="W182" s="200" t="s">
        <v>247</v>
      </c>
      <c r="X182" s="200" t="s">
        <v>248</v>
      </c>
      <c r="Y182" s="202" t="s">
        <v>249</v>
      </c>
    </row>
    <row r="183" spans="1:25" x14ac:dyDescent="0.25">
      <c r="A183" s="215">
        <v>182</v>
      </c>
      <c r="B183" s="203" t="s">
        <v>1081</v>
      </c>
      <c r="C183" s="204" t="s">
        <v>182</v>
      </c>
      <c r="D183" s="203" t="s">
        <v>250</v>
      </c>
      <c r="E183" s="203" t="s">
        <v>251</v>
      </c>
      <c r="F183" s="203" t="s">
        <v>242</v>
      </c>
      <c r="G183" s="203" t="s">
        <v>243</v>
      </c>
      <c r="H183" s="203" t="s">
        <v>243</v>
      </c>
      <c r="I183" s="203" t="s">
        <v>243</v>
      </c>
      <c r="J183" s="203" t="s">
        <v>243</v>
      </c>
      <c r="K183" s="203" t="s">
        <v>243</v>
      </c>
      <c r="L183" s="203" t="s">
        <v>243</v>
      </c>
      <c r="M183" s="203" t="s">
        <v>243</v>
      </c>
      <c r="N183" s="203" t="s">
        <v>243</v>
      </c>
      <c r="O183" s="300">
        <v>15</v>
      </c>
      <c r="P183" s="300">
        <v>7</v>
      </c>
      <c r="Q183" s="300">
        <v>7</v>
      </c>
      <c r="R183" s="300">
        <v>7</v>
      </c>
      <c r="S183" s="300"/>
      <c r="T183" s="203" t="s">
        <v>244</v>
      </c>
      <c r="U183" s="203" t="s">
        <v>245</v>
      </c>
      <c r="V183" s="203" t="s">
        <v>246</v>
      </c>
      <c r="W183" s="203" t="s">
        <v>247</v>
      </c>
      <c r="X183" s="203" t="s">
        <v>248</v>
      </c>
      <c r="Y183" s="205" t="s">
        <v>249</v>
      </c>
    </row>
    <row r="184" spans="1:25" ht="30" x14ac:dyDescent="0.25">
      <c r="A184" s="214">
        <v>183</v>
      </c>
      <c r="B184" s="200" t="s">
        <v>1082</v>
      </c>
      <c r="C184" s="201" t="s">
        <v>183</v>
      </c>
      <c r="D184" s="200" t="s">
        <v>250</v>
      </c>
      <c r="E184" s="200" t="s">
        <v>251</v>
      </c>
      <c r="F184" s="200" t="s">
        <v>242</v>
      </c>
      <c r="G184" s="200" t="s">
        <v>243</v>
      </c>
      <c r="H184" s="200" t="s">
        <v>243</v>
      </c>
      <c r="I184" s="200" t="s">
        <v>243</v>
      </c>
      <c r="J184" s="200" t="s">
        <v>243</v>
      </c>
      <c r="K184" s="200" t="s">
        <v>243</v>
      </c>
      <c r="L184" s="200" t="s">
        <v>243</v>
      </c>
      <c r="M184" s="200" t="s">
        <v>243</v>
      </c>
      <c r="N184" s="200" t="s">
        <v>243</v>
      </c>
      <c r="O184" s="299">
        <v>15</v>
      </c>
      <c r="P184" s="299">
        <v>7</v>
      </c>
      <c r="Q184" s="299">
        <v>7</v>
      </c>
      <c r="R184" s="299">
        <v>7</v>
      </c>
      <c r="S184" s="299"/>
      <c r="T184" s="200" t="s">
        <v>244</v>
      </c>
      <c r="U184" s="200" t="s">
        <v>245</v>
      </c>
      <c r="V184" s="200" t="s">
        <v>246</v>
      </c>
      <c r="W184" s="200" t="s">
        <v>247</v>
      </c>
      <c r="X184" s="200" t="s">
        <v>248</v>
      </c>
      <c r="Y184" s="202" t="s">
        <v>249</v>
      </c>
    </row>
    <row r="185" spans="1:25" ht="30" x14ac:dyDescent="0.25">
      <c r="A185" s="215">
        <v>184</v>
      </c>
      <c r="B185" s="203" t="s">
        <v>1083</v>
      </c>
      <c r="C185" s="204" t="s">
        <v>184</v>
      </c>
      <c r="D185" s="203" t="s">
        <v>250</v>
      </c>
      <c r="E185" s="203" t="s">
        <v>251</v>
      </c>
      <c r="F185" s="203" t="s">
        <v>242</v>
      </c>
      <c r="G185" s="203" t="s">
        <v>243</v>
      </c>
      <c r="H185" s="203" t="s">
        <v>243</v>
      </c>
      <c r="I185" s="203" t="s">
        <v>243</v>
      </c>
      <c r="J185" s="203" t="s">
        <v>243</v>
      </c>
      <c r="K185" s="203" t="s">
        <v>243</v>
      </c>
      <c r="L185" s="203" t="s">
        <v>243</v>
      </c>
      <c r="M185" s="203" t="s">
        <v>243</v>
      </c>
      <c r="N185" s="203" t="s">
        <v>243</v>
      </c>
      <c r="O185" s="300">
        <v>15</v>
      </c>
      <c r="P185" s="300">
        <v>7</v>
      </c>
      <c r="Q185" s="300">
        <v>7</v>
      </c>
      <c r="R185" s="300">
        <v>7</v>
      </c>
      <c r="S185" s="300"/>
      <c r="T185" s="203" t="s">
        <v>244</v>
      </c>
      <c r="U185" s="203" t="s">
        <v>245</v>
      </c>
      <c r="V185" s="203" t="s">
        <v>246</v>
      </c>
      <c r="W185" s="203" t="s">
        <v>247</v>
      </c>
      <c r="X185" s="203" t="s">
        <v>248</v>
      </c>
      <c r="Y185" s="205" t="s">
        <v>249</v>
      </c>
    </row>
    <row r="186" spans="1:25" ht="30" x14ac:dyDescent="0.25">
      <c r="A186" s="214">
        <v>185</v>
      </c>
      <c r="B186" s="200" t="s">
        <v>1084</v>
      </c>
      <c r="C186" s="201" t="s">
        <v>185</v>
      </c>
      <c r="D186" s="200" t="s">
        <v>250</v>
      </c>
      <c r="E186" s="200" t="s">
        <v>251</v>
      </c>
      <c r="F186" s="200" t="s">
        <v>242</v>
      </c>
      <c r="G186" s="200" t="s">
        <v>243</v>
      </c>
      <c r="H186" s="200" t="s">
        <v>243</v>
      </c>
      <c r="I186" s="200" t="s">
        <v>243</v>
      </c>
      <c r="J186" s="200" t="s">
        <v>243</v>
      </c>
      <c r="K186" s="200" t="s">
        <v>243</v>
      </c>
      <c r="L186" s="200" t="s">
        <v>243</v>
      </c>
      <c r="M186" s="200" t="s">
        <v>243</v>
      </c>
      <c r="N186" s="200" t="s">
        <v>243</v>
      </c>
      <c r="O186" s="299">
        <v>15</v>
      </c>
      <c r="P186" s="299">
        <v>7</v>
      </c>
      <c r="Q186" s="299">
        <v>7</v>
      </c>
      <c r="R186" s="299">
        <v>7</v>
      </c>
      <c r="S186" s="299"/>
      <c r="T186" s="200" t="s">
        <v>244</v>
      </c>
      <c r="U186" s="200" t="s">
        <v>245</v>
      </c>
      <c r="V186" s="200" t="s">
        <v>246</v>
      </c>
      <c r="W186" s="200" t="s">
        <v>247</v>
      </c>
      <c r="X186" s="200" t="s">
        <v>248</v>
      </c>
      <c r="Y186" s="202" t="s">
        <v>249</v>
      </c>
    </row>
    <row r="187" spans="1:25" x14ac:dyDescent="0.25">
      <c r="A187" s="215">
        <v>186</v>
      </c>
      <c r="B187" s="203" t="s">
        <v>1085</v>
      </c>
      <c r="C187" s="204" t="s">
        <v>186</v>
      </c>
      <c r="D187" s="203" t="s">
        <v>250</v>
      </c>
      <c r="E187" s="203" t="s">
        <v>251</v>
      </c>
      <c r="F187" s="203" t="s">
        <v>242</v>
      </c>
      <c r="G187" s="203" t="s">
        <v>243</v>
      </c>
      <c r="H187" s="203" t="s">
        <v>243</v>
      </c>
      <c r="I187" s="203" t="s">
        <v>243</v>
      </c>
      <c r="J187" s="203" t="s">
        <v>243</v>
      </c>
      <c r="K187" s="203" t="s">
        <v>243</v>
      </c>
      <c r="L187" s="203" t="s">
        <v>243</v>
      </c>
      <c r="M187" s="203" t="s">
        <v>243</v>
      </c>
      <c r="N187" s="203" t="s">
        <v>243</v>
      </c>
      <c r="O187" s="300">
        <v>15</v>
      </c>
      <c r="P187" s="300">
        <v>7</v>
      </c>
      <c r="Q187" s="300">
        <v>7</v>
      </c>
      <c r="R187" s="300">
        <v>7</v>
      </c>
      <c r="S187" s="300"/>
      <c r="T187" s="203" t="s">
        <v>244</v>
      </c>
      <c r="U187" s="203" t="s">
        <v>245</v>
      </c>
      <c r="V187" s="203" t="s">
        <v>246</v>
      </c>
      <c r="W187" s="203" t="s">
        <v>247</v>
      </c>
      <c r="X187" s="203" t="s">
        <v>248</v>
      </c>
      <c r="Y187" s="205" t="s">
        <v>249</v>
      </c>
    </row>
    <row r="188" spans="1:25" x14ac:dyDescent="0.25">
      <c r="A188" s="214">
        <v>187</v>
      </c>
      <c r="B188" s="200" t="s">
        <v>1086</v>
      </c>
      <c r="C188" s="201" t="s">
        <v>187</v>
      </c>
      <c r="D188" s="200" t="s">
        <v>250</v>
      </c>
      <c r="E188" s="200" t="s">
        <v>251</v>
      </c>
      <c r="F188" s="200" t="s">
        <v>242</v>
      </c>
      <c r="G188" s="200" t="s">
        <v>243</v>
      </c>
      <c r="H188" s="200" t="s">
        <v>243</v>
      </c>
      <c r="I188" s="200" t="s">
        <v>243</v>
      </c>
      <c r="J188" s="200" t="s">
        <v>243</v>
      </c>
      <c r="K188" s="200" t="s">
        <v>243</v>
      </c>
      <c r="L188" s="200" t="s">
        <v>243</v>
      </c>
      <c r="M188" s="200" t="s">
        <v>243</v>
      </c>
      <c r="N188" s="200" t="s">
        <v>243</v>
      </c>
      <c r="O188" s="299">
        <v>15</v>
      </c>
      <c r="P188" s="299">
        <v>7</v>
      </c>
      <c r="Q188" s="299">
        <v>7</v>
      </c>
      <c r="R188" s="299">
        <v>7</v>
      </c>
      <c r="S188" s="299"/>
      <c r="T188" s="200" t="s">
        <v>244</v>
      </c>
      <c r="U188" s="200" t="s">
        <v>245</v>
      </c>
      <c r="V188" s="200" t="s">
        <v>246</v>
      </c>
      <c r="W188" s="200" t="s">
        <v>247</v>
      </c>
      <c r="X188" s="200" t="s">
        <v>248</v>
      </c>
      <c r="Y188" s="202" t="s">
        <v>249</v>
      </c>
    </row>
    <row r="189" spans="1:25" ht="30" x14ac:dyDescent="0.25">
      <c r="A189" s="215">
        <v>188</v>
      </c>
      <c r="B189" s="203" t="s">
        <v>1087</v>
      </c>
      <c r="C189" s="204" t="s">
        <v>188</v>
      </c>
      <c r="D189" s="203" t="s">
        <v>250</v>
      </c>
      <c r="E189" s="203" t="s">
        <v>251</v>
      </c>
      <c r="F189" s="203" t="s">
        <v>242</v>
      </c>
      <c r="G189" s="203" t="s">
        <v>243</v>
      </c>
      <c r="H189" s="203" t="s">
        <v>243</v>
      </c>
      <c r="I189" s="203" t="s">
        <v>243</v>
      </c>
      <c r="J189" s="203" t="s">
        <v>243</v>
      </c>
      <c r="K189" s="203" t="s">
        <v>243</v>
      </c>
      <c r="L189" s="203" t="s">
        <v>243</v>
      </c>
      <c r="M189" s="203" t="s">
        <v>243</v>
      </c>
      <c r="N189" s="203" t="s">
        <v>243</v>
      </c>
      <c r="O189" s="300">
        <v>15</v>
      </c>
      <c r="P189" s="300">
        <v>7</v>
      </c>
      <c r="Q189" s="300">
        <v>7</v>
      </c>
      <c r="R189" s="300">
        <v>7</v>
      </c>
      <c r="S189" s="300"/>
      <c r="T189" s="203" t="s">
        <v>244</v>
      </c>
      <c r="U189" s="203" t="s">
        <v>245</v>
      </c>
      <c r="V189" s="203" t="s">
        <v>246</v>
      </c>
      <c r="W189" s="203" t="s">
        <v>247</v>
      </c>
      <c r="X189" s="203" t="s">
        <v>248</v>
      </c>
      <c r="Y189" s="205" t="s">
        <v>249</v>
      </c>
    </row>
    <row r="190" spans="1:25" x14ac:dyDescent="0.25">
      <c r="A190" s="214">
        <v>189</v>
      </c>
      <c r="B190" s="200" t="s">
        <v>1088</v>
      </c>
      <c r="C190" s="201" t="s">
        <v>189</v>
      </c>
      <c r="D190" s="200" t="s">
        <v>250</v>
      </c>
      <c r="E190" s="200" t="s">
        <v>251</v>
      </c>
      <c r="F190" s="200" t="s">
        <v>242</v>
      </c>
      <c r="G190" s="200" t="s">
        <v>243</v>
      </c>
      <c r="H190" s="200" t="s">
        <v>243</v>
      </c>
      <c r="I190" s="200" t="s">
        <v>243</v>
      </c>
      <c r="J190" s="200" t="s">
        <v>243</v>
      </c>
      <c r="K190" s="200" t="s">
        <v>243</v>
      </c>
      <c r="L190" s="200" t="s">
        <v>243</v>
      </c>
      <c r="M190" s="200" t="s">
        <v>243</v>
      </c>
      <c r="N190" s="200" t="s">
        <v>243</v>
      </c>
      <c r="O190" s="299">
        <v>15</v>
      </c>
      <c r="P190" s="299">
        <v>7</v>
      </c>
      <c r="Q190" s="299">
        <v>7</v>
      </c>
      <c r="R190" s="299">
        <v>7</v>
      </c>
      <c r="S190" s="299"/>
      <c r="T190" s="200" t="s">
        <v>244</v>
      </c>
      <c r="U190" s="200" t="s">
        <v>245</v>
      </c>
      <c r="V190" s="200" t="s">
        <v>246</v>
      </c>
      <c r="W190" s="200" t="s">
        <v>247</v>
      </c>
      <c r="X190" s="200" t="s">
        <v>248</v>
      </c>
      <c r="Y190" s="202" t="s">
        <v>249</v>
      </c>
    </row>
    <row r="191" spans="1:25" ht="30" x14ac:dyDescent="0.25">
      <c r="A191" s="215">
        <v>190</v>
      </c>
      <c r="B191" s="203" t="s">
        <v>1089</v>
      </c>
      <c r="C191" s="204" t="s">
        <v>190</v>
      </c>
      <c r="D191" s="203" t="s">
        <v>250</v>
      </c>
      <c r="E191" s="203" t="s">
        <v>251</v>
      </c>
      <c r="F191" s="203" t="s">
        <v>242</v>
      </c>
      <c r="G191" s="203" t="s">
        <v>243</v>
      </c>
      <c r="H191" s="203" t="s">
        <v>243</v>
      </c>
      <c r="I191" s="203" t="s">
        <v>243</v>
      </c>
      <c r="J191" s="203" t="s">
        <v>243</v>
      </c>
      <c r="K191" s="203" t="s">
        <v>243</v>
      </c>
      <c r="L191" s="203" t="s">
        <v>243</v>
      </c>
      <c r="M191" s="203" t="s">
        <v>243</v>
      </c>
      <c r="N191" s="203" t="s">
        <v>243</v>
      </c>
      <c r="O191" s="300">
        <v>15</v>
      </c>
      <c r="P191" s="300">
        <v>7</v>
      </c>
      <c r="Q191" s="300">
        <v>7</v>
      </c>
      <c r="R191" s="300">
        <v>7</v>
      </c>
      <c r="S191" s="300"/>
      <c r="T191" s="203" t="s">
        <v>244</v>
      </c>
      <c r="U191" s="203" t="s">
        <v>245</v>
      </c>
      <c r="V191" s="203" t="s">
        <v>246</v>
      </c>
      <c r="W191" s="203" t="s">
        <v>247</v>
      </c>
      <c r="X191" s="203" t="s">
        <v>248</v>
      </c>
      <c r="Y191" s="205" t="s">
        <v>249</v>
      </c>
    </row>
    <row r="192" spans="1:25" x14ac:dyDescent="0.25">
      <c r="A192" s="214">
        <v>191</v>
      </c>
      <c r="B192" s="200" t="s">
        <v>1090</v>
      </c>
      <c r="C192" s="201" t="s">
        <v>191</v>
      </c>
      <c r="D192" s="200" t="s">
        <v>250</v>
      </c>
      <c r="E192" s="200" t="s">
        <v>251</v>
      </c>
      <c r="F192" s="200" t="s">
        <v>242</v>
      </c>
      <c r="G192" s="200" t="s">
        <v>243</v>
      </c>
      <c r="H192" s="200" t="s">
        <v>243</v>
      </c>
      <c r="I192" s="200" t="s">
        <v>243</v>
      </c>
      <c r="J192" s="200" t="s">
        <v>243</v>
      </c>
      <c r="K192" s="200" t="s">
        <v>243</v>
      </c>
      <c r="L192" s="200" t="s">
        <v>243</v>
      </c>
      <c r="M192" s="200" t="s">
        <v>243</v>
      </c>
      <c r="N192" s="200" t="s">
        <v>243</v>
      </c>
      <c r="O192" s="299">
        <v>15</v>
      </c>
      <c r="P192" s="299">
        <v>7</v>
      </c>
      <c r="Q192" s="299">
        <v>7</v>
      </c>
      <c r="R192" s="299">
        <v>7</v>
      </c>
      <c r="S192" s="299"/>
      <c r="T192" s="200" t="s">
        <v>244</v>
      </c>
      <c r="U192" s="200" t="s">
        <v>245</v>
      </c>
      <c r="V192" s="200" t="s">
        <v>246</v>
      </c>
      <c r="W192" s="200" t="s">
        <v>247</v>
      </c>
      <c r="X192" s="200" t="s">
        <v>248</v>
      </c>
      <c r="Y192" s="202" t="s">
        <v>249</v>
      </c>
    </row>
    <row r="193" spans="1:25" x14ac:dyDescent="0.25">
      <c r="A193" s="215">
        <v>192</v>
      </c>
      <c r="B193" s="203" t="s">
        <v>1091</v>
      </c>
      <c r="C193" s="204" t="s">
        <v>192</v>
      </c>
      <c r="D193" s="203" t="s">
        <v>250</v>
      </c>
      <c r="E193" s="203" t="s">
        <v>251</v>
      </c>
      <c r="F193" s="203" t="s">
        <v>242</v>
      </c>
      <c r="G193" s="203" t="s">
        <v>243</v>
      </c>
      <c r="H193" s="203" t="s">
        <v>243</v>
      </c>
      <c r="I193" s="203" t="s">
        <v>243</v>
      </c>
      <c r="J193" s="203" t="s">
        <v>243</v>
      </c>
      <c r="K193" s="203" t="s">
        <v>243</v>
      </c>
      <c r="L193" s="203" t="s">
        <v>243</v>
      </c>
      <c r="M193" s="203" t="s">
        <v>243</v>
      </c>
      <c r="N193" s="203" t="s">
        <v>243</v>
      </c>
      <c r="O193" s="300">
        <v>15</v>
      </c>
      <c r="P193" s="300">
        <v>7</v>
      </c>
      <c r="Q193" s="300">
        <v>7</v>
      </c>
      <c r="R193" s="300">
        <v>7</v>
      </c>
      <c r="S193" s="300"/>
      <c r="T193" s="203" t="s">
        <v>244</v>
      </c>
      <c r="U193" s="203" t="s">
        <v>245</v>
      </c>
      <c r="V193" s="203" t="s">
        <v>246</v>
      </c>
      <c r="W193" s="203" t="s">
        <v>247</v>
      </c>
      <c r="X193" s="203" t="s">
        <v>248</v>
      </c>
      <c r="Y193" s="205" t="s">
        <v>249</v>
      </c>
    </row>
    <row r="194" spans="1:25" ht="45" x14ac:dyDescent="0.25">
      <c r="A194" s="214">
        <v>193</v>
      </c>
      <c r="B194" s="200" t="s">
        <v>1092</v>
      </c>
      <c r="C194" s="201" t="s">
        <v>193</v>
      </c>
      <c r="D194" s="200" t="s">
        <v>250</v>
      </c>
      <c r="E194" s="200" t="s">
        <v>251</v>
      </c>
      <c r="F194" s="200" t="s">
        <v>242</v>
      </c>
      <c r="G194" s="200" t="s">
        <v>243</v>
      </c>
      <c r="H194" s="200" t="s">
        <v>243</v>
      </c>
      <c r="I194" s="200" t="s">
        <v>243</v>
      </c>
      <c r="J194" s="200" t="s">
        <v>243</v>
      </c>
      <c r="K194" s="200" t="s">
        <v>243</v>
      </c>
      <c r="L194" s="200" t="s">
        <v>243</v>
      </c>
      <c r="M194" s="200" t="s">
        <v>243</v>
      </c>
      <c r="N194" s="200" t="s">
        <v>243</v>
      </c>
      <c r="O194" s="299">
        <v>15</v>
      </c>
      <c r="P194" s="299">
        <v>7</v>
      </c>
      <c r="Q194" s="299">
        <v>7</v>
      </c>
      <c r="R194" s="299">
        <v>7</v>
      </c>
      <c r="S194" s="299"/>
      <c r="T194" s="200" t="s">
        <v>244</v>
      </c>
      <c r="U194" s="200" t="s">
        <v>245</v>
      </c>
      <c r="V194" s="200" t="s">
        <v>246</v>
      </c>
      <c r="W194" s="200" t="s">
        <v>247</v>
      </c>
      <c r="X194" s="200" t="s">
        <v>248</v>
      </c>
      <c r="Y194" s="202" t="s">
        <v>249</v>
      </c>
    </row>
    <row r="195" spans="1:25" x14ac:dyDescent="0.25">
      <c r="A195" s="215">
        <v>194</v>
      </c>
      <c r="B195" s="203" t="s">
        <v>1093</v>
      </c>
      <c r="C195" s="204" t="s">
        <v>194</v>
      </c>
      <c r="D195" s="203" t="s">
        <v>250</v>
      </c>
      <c r="E195" s="203" t="s">
        <v>251</v>
      </c>
      <c r="F195" s="203" t="s">
        <v>242</v>
      </c>
      <c r="G195" s="203" t="s">
        <v>243</v>
      </c>
      <c r="H195" s="203" t="s">
        <v>243</v>
      </c>
      <c r="I195" s="203" t="s">
        <v>243</v>
      </c>
      <c r="J195" s="203" t="s">
        <v>243</v>
      </c>
      <c r="K195" s="203" t="s">
        <v>243</v>
      </c>
      <c r="L195" s="203" t="s">
        <v>243</v>
      </c>
      <c r="M195" s="203" t="s">
        <v>243</v>
      </c>
      <c r="N195" s="203" t="s">
        <v>243</v>
      </c>
      <c r="O195" s="300">
        <v>15</v>
      </c>
      <c r="P195" s="300">
        <v>7</v>
      </c>
      <c r="Q195" s="300">
        <v>7</v>
      </c>
      <c r="R195" s="300">
        <v>7</v>
      </c>
      <c r="S195" s="300"/>
      <c r="T195" s="203" t="s">
        <v>244</v>
      </c>
      <c r="U195" s="203" t="s">
        <v>245</v>
      </c>
      <c r="V195" s="203" t="s">
        <v>246</v>
      </c>
      <c r="W195" s="203" t="s">
        <v>247</v>
      </c>
      <c r="X195" s="203" t="s">
        <v>248</v>
      </c>
      <c r="Y195" s="205" t="s">
        <v>249</v>
      </c>
    </row>
    <row r="196" spans="1:25" s="4" customFormat="1" ht="105" x14ac:dyDescent="0.25">
      <c r="A196" s="214">
        <v>195</v>
      </c>
      <c r="B196" s="200" t="s">
        <v>1094</v>
      </c>
      <c r="C196" s="201" t="s">
        <v>195</v>
      </c>
      <c r="D196" s="200" t="s">
        <v>369</v>
      </c>
      <c r="E196" s="200" t="s">
        <v>241</v>
      </c>
      <c r="F196" s="200" t="s">
        <v>222</v>
      </c>
      <c r="G196" s="200" t="s">
        <v>243</v>
      </c>
      <c r="H196" s="200" t="s">
        <v>243</v>
      </c>
      <c r="I196" s="200" t="s">
        <v>338</v>
      </c>
      <c r="J196" s="200" t="s">
        <v>290</v>
      </c>
      <c r="K196" s="200" t="s">
        <v>243</v>
      </c>
      <c r="L196" s="200" t="s">
        <v>243</v>
      </c>
      <c r="M196" s="200" t="s">
        <v>243</v>
      </c>
      <c r="N196" s="200" t="s">
        <v>243</v>
      </c>
      <c r="O196" s="299">
        <v>5</v>
      </c>
      <c r="P196" s="299">
        <v>5</v>
      </c>
      <c r="Q196" s="299">
        <v>22</v>
      </c>
      <c r="R196" s="299">
        <v>6</v>
      </c>
      <c r="S196" s="299">
        <v>2</v>
      </c>
      <c r="T196" s="200" t="s">
        <v>321</v>
      </c>
      <c r="U196" s="200" t="s">
        <v>245</v>
      </c>
      <c r="V196" s="200" t="s">
        <v>321</v>
      </c>
      <c r="W196" s="200" t="s">
        <v>370</v>
      </c>
      <c r="X196" s="200" t="s">
        <v>313</v>
      </c>
      <c r="Y196" s="202" t="s">
        <v>392</v>
      </c>
    </row>
    <row r="197" spans="1:25" x14ac:dyDescent="0.25">
      <c r="A197" s="215">
        <v>196</v>
      </c>
      <c r="B197" s="203" t="s">
        <v>1095</v>
      </c>
      <c r="C197" s="204" t="s">
        <v>196</v>
      </c>
      <c r="D197" s="203" t="s">
        <v>250</v>
      </c>
      <c r="E197" s="203" t="s">
        <v>251</v>
      </c>
      <c r="F197" s="203" t="s">
        <v>242</v>
      </c>
      <c r="G197" s="203" t="s">
        <v>243</v>
      </c>
      <c r="H197" s="203" t="s">
        <v>243</v>
      </c>
      <c r="I197" s="203" t="s">
        <v>243</v>
      </c>
      <c r="J197" s="203" t="s">
        <v>243</v>
      </c>
      <c r="K197" s="203" t="s">
        <v>243</v>
      </c>
      <c r="L197" s="203" t="s">
        <v>243</v>
      </c>
      <c r="M197" s="203" t="s">
        <v>243</v>
      </c>
      <c r="N197" s="203" t="s">
        <v>243</v>
      </c>
      <c r="O197" s="300">
        <v>15</v>
      </c>
      <c r="P197" s="300">
        <v>7</v>
      </c>
      <c r="Q197" s="300">
        <v>7</v>
      </c>
      <c r="R197" s="300">
        <v>7</v>
      </c>
      <c r="S197" s="300"/>
      <c r="T197" s="203" t="s">
        <v>244</v>
      </c>
      <c r="U197" s="203" t="s">
        <v>245</v>
      </c>
      <c r="V197" s="203" t="s">
        <v>246</v>
      </c>
      <c r="W197" s="203" t="s">
        <v>247</v>
      </c>
      <c r="X197" s="203" t="s">
        <v>248</v>
      </c>
      <c r="Y197" s="205" t="s">
        <v>249</v>
      </c>
    </row>
    <row r="198" spans="1:25" x14ac:dyDescent="0.25">
      <c r="A198" s="214">
        <v>197</v>
      </c>
      <c r="B198" s="200" t="s">
        <v>1096</v>
      </c>
      <c r="C198" s="201" t="s">
        <v>197</v>
      </c>
      <c r="D198" s="200" t="s">
        <v>250</v>
      </c>
      <c r="E198" s="200" t="s">
        <v>251</v>
      </c>
      <c r="F198" s="200" t="s">
        <v>242</v>
      </c>
      <c r="G198" s="200" t="s">
        <v>243</v>
      </c>
      <c r="H198" s="200" t="s">
        <v>243</v>
      </c>
      <c r="I198" s="200" t="s">
        <v>243</v>
      </c>
      <c r="J198" s="200" t="s">
        <v>243</v>
      </c>
      <c r="K198" s="200" t="s">
        <v>243</v>
      </c>
      <c r="L198" s="200" t="s">
        <v>243</v>
      </c>
      <c r="M198" s="200" t="s">
        <v>243</v>
      </c>
      <c r="N198" s="200" t="s">
        <v>243</v>
      </c>
      <c r="O198" s="299">
        <v>15</v>
      </c>
      <c r="P198" s="299">
        <v>7</v>
      </c>
      <c r="Q198" s="299">
        <v>7</v>
      </c>
      <c r="R198" s="299">
        <v>7</v>
      </c>
      <c r="S198" s="299"/>
      <c r="T198" s="200" t="s">
        <v>244</v>
      </c>
      <c r="U198" s="200" t="s">
        <v>245</v>
      </c>
      <c r="V198" s="200" t="s">
        <v>246</v>
      </c>
      <c r="W198" s="200" t="s">
        <v>247</v>
      </c>
      <c r="X198" s="200" t="s">
        <v>248</v>
      </c>
      <c r="Y198" s="202" t="s">
        <v>249</v>
      </c>
    </row>
    <row r="199" spans="1:25" ht="30" x14ac:dyDescent="0.25">
      <c r="A199" s="215">
        <v>198</v>
      </c>
      <c r="B199" s="203" t="s">
        <v>1097</v>
      </c>
      <c r="C199" s="204" t="s">
        <v>198</v>
      </c>
      <c r="D199" s="203" t="s">
        <v>250</v>
      </c>
      <c r="E199" s="203" t="s">
        <v>251</v>
      </c>
      <c r="F199" s="203" t="s">
        <v>242</v>
      </c>
      <c r="G199" s="203" t="s">
        <v>243</v>
      </c>
      <c r="H199" s="203" t="s">
        <v>243</v>
      </c>
      <c r="I199" s="203" t="s">
        <v>243</v>
      </c>
      <c r="J199" s="203" t="s">
        <v>243</v>
      </c>
      <c r="K199" s="203" t="s">
        <v>243</v>
      </c>
      <c r="L199" s="203" t="s">
        <v>243</v>
      </c>
      <c r="M199" s="203" t="s">
        <v>243</v>
      </c>
      <c r="N199" s="203" t="s">
        <v>243</v>
      </c>
      <c r="O199" s="300">
        <v>15</v>
      </c>
      <c r="P199" s="300">
        <v>7</v>
      </c>
      <c r="Q199" s="300">
        <v>7</v>
      </c>
      <c r="R199" s="300">
        <v>7</v>
      </c>
      <c r="S199" s="300"/>
      <c r="T199" s="203" t="s">
        <v>244</v>
      </c>
      <c r="U199" s="203" t="s">
        <v>245</v>
      </c>
      <c r="V199" s="203" t="s">
        <v>246</v>
      </c>
      <c r="W199" s="203" t="s">
        <v>247</v>
      </c>
      <c r="X199" s="203" t="s">
        <v>248</v>
      </c>
      <c r="Y199" s="205" t="s">
        <v>249</v>
      </c>
    </row>
    <row r="200" spans="1:25" ht="30" x14ac:dyDescent="0.25">
      <c r="A200" s="214">
        <v>199</v>
      </c>
      <c r="B200" s="200" t="s">
        <v>1098</v>
      </c>
      <c r="C200" s="201" t="s">
        <v>199</v>
      </c>
      <c r="D200" s="200" t="s">
        <v>250</v>
      </c>
      <c r="E200" s="200" t="s">
        <v>251</v>
      </c>
      <c r="F200" s="200" t="s">
        <v>242</v>
      </c>
      <c r="G200" s="200" t="s">
        <v>243</v>
      </c>
      <c r="H200" s="200" t="s">
        <v>243</v>
      </c>
      <c r="I200" s="200" t="s">
        <v>243</v>
      </c>
      <c r="J200" s="200" t="s">
        <v>243</v>
      </c>
      <c r="K200" s="200" t="s">
        <v>243</v>
      </c>
      <c r="L200" s="200" t="s">
        <v>243</v>
      </c>
      <c r="M200" s="200" t="s">
        <v>243</v>
      </c>
      <c r="N200" s="200" t="s">
        <v>243</v>
      </c>
      <c r="O200" s="299">
        <v>15</v>
      </c>
      <c r="P200" s="299">
        <v>7</v>
      </c>
      <c r="Q200" s="299">
        <v>7</v>
      </c>
      <c r="R200" s="299">
        <v>7</v>
      </c>
      <c r="S200" s="299"/>
      <c r="T200" s="200" t="s">
        <v>244</v>
      </c>
      <c r="U200" s="200" t="s">
        <v>245</v>
      </c>
      <c r="V200" s="200" t="s">
        <v>246</v>
      </c>
      <c r="W200" s="200" t="s">
        <v>247</v>
      </c>
      <c r="X200" s="200" t="s">
        <v>248</v>
      </c>
      <c r="Y200" s="202" t="s">
        <v>249</v>
      </c>
    </row>
    <row r="201" spans="1:25" s="4" customFormat="1" ht="60" x14ac:dyDescent="0.25">
      <c r="A201" s="215">
        <v>200</v>
      </c>
      <c r="B201" s="203" t="s">
        <v>1099</v>
      </c>
      <c r="C201" s="204" t="s">
        <v>200</v>
      </c>
      <c r="D201" s="203" t="s">
        <v>336</v>
      </c>
      <c r="E201" s="203" t="s">
        <v>241</v>
      </c>
      <c r="F201" s="203" t="s">
        <v>242</v>
      </c>
      <c r="G201" s="203" t="s">
        <v>311</v>
      </c>
      <c r="H201" s="203" t="s">
        <v>311</v>
      </c>
      <c r="I201" s="203" t="s">
        <v>371</v>
      </c>
      <c r="J201" s="203" t="s">
        <v>243</v>
      </c>
      <c r="K201" s="203" t="s">
        <v>243</v>
      </c>
      <c r="L201" s="203" t="s">
        <v>243</v>
      </c>
      <c r="M201" s="203" t="s">
        <v>243</v>
      </c>
      <c r="N201" s="203" t="s">
        <v>243</v>
      </c>
      <c r="O201" s="300">
        <v>5</v>
      </c>
      <c r="P201" s="300">
        <v>5</v>
      </c>
      <c r="Q201" s="300">
        <v>15</v>
      </c>
      <c r="R201" s="300">
        <v>5</v>
      </c>
      <c r="S201" s="300">
        <v>3</v>
      </c>
      <c r="T201" s="203" t="s">
        <v>267</v>
      </c>
      <c r="U201" s="203" t="s">
        <v>321</v>
      </c>
      <c r="V201" s="203" t="s">
        <v>268</v>
      </c>
      <c r="W201" s="203" t="s">
        <v>256</v>
      </c>
      <c r="X201" s="203" t="s">
        <v>313</v>
      </c>
      <c r="Y201" s="205" t="s">
        <v>378</v>
      </c>
    </row>
    <row r="202" spans="1:25" x14ac:dyDescent="0.25">
      <c r="A202" s="214">
        <v>201</v>
      </c>
      <c r="B202" s="200" t="s">
        <v>1100</v>
      </c>
      <c r="C202" s="201" t="s">
        <v>201</v>
      </c>
      <c r="D202" s="200" t="s">
        <v>250</v>
      </c>
      <c r="E202" s="200" t="s">
        <v>251</v>
      </c>
      <c r="F202" s="200" t="s">
        <v>242</v>
      </c>
      <c r="G202" s="200" t="s">
        <v>243</v>
      </c>
      <c r="H202" s="200" t="s">
        <v>243</v>
      </c>
      <c r="I202" s="200" t="s">
        <v>243</v>
      </c>
      <c r="J202" s="200" t="s">
        <v>243</v>
      </c>
      <c r="K202" s="200" t="s">
        <v>243</v>
      </c>
      <c r="L202" s="200" t="s">
        <v>243</v>
      </c>
      <c r="M202" s="200" t="s">
        <v>243</v>
      </c>
      <c r="N202" s="200" t="s">
        <v>243</v>
      </c>
      <c r="O202" s="299">
        <v>15</v>
      </c>
      <c r="P202" s="299">
        <v>7</v>
      </c>
      <c r="Q202" s="299">
        <v>7</v>
      </c>
      <c r="R202" s="299">
        <v>7</v>
      </c>
      <c r="S202" s="299"/>
      <c r="T202" s="200" t="s">
        <v>244</v>
      </c>
      <c r="U202" s="200" t="s">
        <v>245</v>
      </c>
      <c r="V202" s="200" t="s">
        <v>246</v>
      </c>
      <c r="W202" s="200" t="s">
        <v>247</v>
      </c>
      <c r="X202" s="200" t="s">
        <v>248</v>
      </c>
      <c r="Y202" s="202" t="s">
        <v>249</v>
      </c>
    </row>
    <row r="203" spans="1:25" ht="30" x14ac:dyDescent="0.25">
      <c r="A203" s="215">
        <v>202</v>
      </c>
      <c r="B203" s="203" t="s">
        <v>1101</v>
      </c>
      <c r="C203" s="204" t="s">
        <v>202</v>
      </c>
      <c r="D203" s="203" t="s">
        <v>250</v>
      </c>
      <c r="E203" s="203" t="s">
        <v>251</v>
      </c>
      <c r="F203" s="203" t="s">
        <v>242</v>
      </c>
      <c r="G203" s="203" t="s">
        <v>243</v>
      </c>
      <c r="H203" s="203" t="s">
        <v>243</v>
      </c>
      <c r="I203" s="203" t="s">
        <v>243</v>
      </c>
      <c r="J203" s="203" t="s">
        <v>243</v>
      </c>
      <c r="K203" s="203" t="s">
        <v>243</v>
      </c>
      <c r="L203" s="203" t="s">
        <v>243</v>
      </c>
      <c r="M203" s="203" t="s">
        <v>243</v>
      </c>
      <c r="N203" s="203" t="s">
        <v>243</v>
      </c>
      <c r="O203" s="300">
        <v>15</v>
      </c>
      <c r="P203" s="300">
        <v>7</v>
      </c>
      <c r="Q203" s="300">
        <v>7</v>
      </c>
      <c r="R203" s="300">
        <v>7</v>
      </c>
      <c r="S203" s="300"/>
      <c r="T203" s="203" t="s">
        <v>244</v>
      </c>
      <c r="U203" s="203" t="s">
        <v>245</v>
      </c>
      <c r="V203" s="203" t="s">
        <v>246</v>
      </c>
      <c r="W203" s="203" t="s">
        <v>247</v>
      </c>
      <c r="X203" s="203" t="s">
        <v>248</v>
      </c>
      <c r="Y203" s="205" t="s">
        <v>249</v>
      </c>
    </row>
    <row r="204" spans="1:25" s="4" customFormat="1" ht="60" x14ac:dyDescent="0.25">
      <c r="A204" s="214">
        <v>203</v>
      </c>
      <c r="B204" s="200" t="s">
        <v>1102</v>
      </c>
      <c r="C204" s="201" t="s">
        <v>203</v>
      </c>
      <c r="D204" s="200" t="s">
        <v>336</v>
      </c>
      <c r="E204" s="200" t="s">
        <v>241</v>
      </c>
      <c r="F204" s="200" t="s">
        <v>242</v>
      </c>
      <c r="G204" s="200" t="s">
        <v>289</v>
      </c>
      <c r="H204" s="200" t="s">
        <v>311</v>
      </c>
      <c r="I204" s="200" t="s">
        <v>372</v>
      </c>
      <c r="J204" s="200" t="s">
        <v>243</v>
      </c>
      <c r="K204" s="200" t="s">
        <v>243</v>
      </c>
      <c r="L204" s="200" t="s">
        <v>243</v>
      </c>
      <c r="M204" s="200" t="s">
        <v>243</v>
      </c>
      <c r="N204" s="200" t="s">
        <v>243</v>
      </c>
      <c r="O204" s="299">
        <v>15</v>
      </c>
      <c r="P204" s="299">
        <v>5</v>
      </c>
      <c r="Q204" s="299">
        <v>5</v>
      </c>
      <c r="R204" s="299">
        <v>5</v>
      </c>
      <c r="S204" s="299">
        <v>3</v>
      </c>
      <c r="T204" s="200" t="s">
        <v>267</v>
      </c>
      <c r="U204" s="200" t="s">
        <v>321</v>
      </c>
      <c r="V204" s="200" t="s">
        <v>268</v>
      </c>
      <c r="W204" s="200" t="s">
        <v>256</v>
      </c>
      <c r="X204" s="200" t="s">
        <v>313</v>
      </c>
      <c r="Y204" s="202" t="s">
        <v>379</v>
      </c>
    </row>
    <row r="205" spans="1:25" ht="30" x14ac:dyDescent="0.25">
      <c r="A205" s="215">
        <v>204</v>
      </c>
      <c r="B205" s="203" t="s">
        <v>1103</v>
      </c>
      <c r="C205" s="204" t="s">
        <v>204</v>
      </c>
      <c r="D205" s="203" t="s">
        <v>250</v>
      </c>
      <c r="E205" s="203" t="s">
        <v>251</v>
      </c>
      <c r="F205" s="203" t="s">
        <v>242</v>
      </c>
      <c r="G205" s="203" t="s">
        <v>243</v>
      </c>
      <c r="H205" s="203" t="s">
        <v>243</v>
      </c>
      <c r="I205" s="203" t="s">
        <v>243</v>
      </c>
      <c r="J205" s="203" t="s">
        <v>243</v>
      </c>
      <c r="K205" s="203" t="s">
        <v>243</v>
      </c>
      <c r="L205" s="203" t="s">
        <v>243</v>
      </c>
      <c r="M205" s="203" t="s">
        <v>243</v>
      </c>
      <c r="N205" s="203" t="s">
        <v>243</v>
      </c>
      <c r="O205" s="300">
        <v>15</v>
      </c>
      <c r="P205" s="300">
        <v>7</v>
      </c>
      <c r="Q205" s="300">
        <v>7</v>
      </c>
      <c r="R205" s="300">
        <v>7</v>
      </c>
      <c r="S205" s="300"/>
      <c r="T205" s="203" t="s">
        <v>244</v>
      </c>
      <c r="U205" s="203" t="s">
        <v>245</v>
      </c>
      <c r="V205" s="203" t="s">
        <v>246</v>
      </c>
      <c r="W205" s="203" t="s">
        <v>247</v>
      </c>
      <c r="X205" s="203" t="s">
        <v>248</v>
      </c>
      <c r="Y205" s="205" t="s">
        <v>249</v>
      </c>
    </row>
    <row r="206" spans="1:25" x14ac:dyDescent="0.25">
      <c r="A206" s="214">
        <v>205</v>
      </c>
      <c r="B206" s="200" t="s">
        <v>1104</v>
      </c>
      <c r="C206" s="201" t="s">
        <v>154</v>
      </c>
      <c r="D206" s="200" t="s">
        <v>250</v>
      </c>
      <c r="E206" s="200" t="s">
        <v>251</v>
      </c>
      <c r="F206" s="200" t="s">
        <v>242</v>
      </c>
      <c r="G206" s="200" t="s">
        <v>243</v>
      </c>
      <c r="H206" s="200" t="s">
        <v>243</v>
      </c>
      <c r="I206" s="200" t="s">
        <v>243</v>
      </c>
      <c r="J206" s="200" t="s">
        <v>243</v>
      </c>
      <c r="K206" s="200" t="s">
        <v>243</v>
      </c>
      <c r="L206" s="200" t="s">
        <v>243</v>
      </c>
      <c r="M206" s="200" t="s">
        <v>243</v>
      </c>
      <c r="N206" s="200" t="s">
        <v>243</v>
      </c>
      <c r="O206" s="299">
        <v>15</v>
      </c>
      <c r="P206" s="299">
        <v>7</v>
      </c>
      <c r="Q206" s="299">
        <v>7</v>
      </c>
      <c r="R206" s="299">
        <v>7</v>
      </c>
      <c r="S206" s="299"/>
      <c r="T206" s="200" t="s">
        <v>244</v>
      </c>
      <c r="U206" s="200" t="s">
        <v>245</v>
      </c>
      <c r="V206" s="200" t="s">
        <v>246</v>
      </c>
      <c r="W206" s="200" t="s">
        <v>247</v>
      </c>
      <c r="X206" s="200" t="s">
        <v>248</v>
      </c>
      <c r="Y206" s="202" t="s">
        <v>249</v>
      </c>
    </row>
    <row r="207" spans="1:25" x14ac:dyDescent="0.25">
      <c r="A207" s="215">
        <v>206</v>
      </c>
      <c r="B207" s="203" t="s">
        <v>1105</v>
      </c>
      <c r="C207" s="204" t="s">
        <v>205</v>
      </c>
      <c r="D207" s="203" t="s">
        <v>250</v>
      </c>
      <c r="E207" s="203" t="s">
        <v>251</v>
      </c>
      <c r="F207" s="203" t="s">
        <v>242</v>
      </c>
      <c r="G207" s="203" t="s">
        <v>243</v>
      </c>
      <c r="H207" s="203" t="s">
        <v>243</v>
      </c>
      <c r="I207" s="203" t="s">
        <v>243</v>
      </c>
      <c r="J207" s="203" t="s">
        <v>243</v>
      </c>
      <c r="K207" s="203" t="s">
        <v>243</v>
      </c>
      <c r="L207" s="203" t="s">
        <v>243</v>
      </c>
      <c r="M207" s="203" t="s">
        <v>243</v>
      </c>
      <c r="N207" s="203" t="s">
        <v>243</v>
      </c>
      <c r="O207" s="300">
        <v>15</v>
      </c>
      <c r="P207" s="300">
        <v>7</v>
      </c>
      <c r="Q207" s="300">
        <v>7</v>
      </c>
      <c r="R207" s="300">
        <v>7</v>
      </c>
      <c r="S207" s="300"/>
      <c r="T207" s="203" t="s">
        <v>244</v>
      </c>
      <c r="U207" s="203" t="s">
        <v>245</v>
      </c>
      <c r="V207" s="203" t="s">
        <v>246</v>
      </c>
      <c r="W207" s="203" t="s">
        <v>247</v>
      </c>
      <c r="X207" s="203" t="s">
        <v>248</v>
      </c>
      <c r="Y207" s="205" t="s">
        <v>249</v>
      </c>
    </row>
    <row r="208" spans="1:25" s="4" customFormat="1" ht="30" x14ac:dyDescent="0.25">
      <c r="A208" s="214">
        <v>207</v>
      </c>
      <c r="B208" s="200" t="s">
        <v>1106</v>
      </c>
      <c r="C208" s="201" t="s">
        <v>206</v>
      </c>
      <c r="D208" s="200" t="s">
        <v>328</v>
      </c>
      <c r="E208" s="200" t="s">
        <v>241</v>
      </c>
      <c r="F208" s="200" t="s">
        <v>222</v>
      </c>
      <c r="G208" s="200" t="s">
        <v>243</v>
      </c>
      <c r="H208" s="200" t="s">
        <v>311</v>
      </c>
      <c r="I208" s="200" t="s">
        <v>243</v>
      </c>
      <c r="J208" s="200" t="s">
        <v>243</v>
      </c>
      <c r="K208" s="200" t="s">
        <v>243</v>
      </c>
      <c r="L208" s="200" t="s">
        <v>243</v>
      </c>
      <c r="M208" s="200" t="s">
        <v>243</v>
      </c>
      <c r="N208" s="200" t="s">
        <v>243</v>
      </c>
      <c r="O208" s="299">
        <v>7</v>
      </c>
      <c r="P208" s="299">
        <v>7</v>
      </c>
      <c r="Q208" s="299">
        <v>7</v>
      </c>
      <c r="R208" s="299">
        <v>7</v>
      </c>
      <c r="S208" s="299">
        <v>1</v>
      </c>
      <c r="T208" s="200" t="s">
        <v>244</v>
      </c>
      <c r="U208" s="200" t="s">
        <v>245</v>
      </c>
      <c r="V208" s="200" t="s">
        <v>246</v>
      </c>
      <c r="W208" s="200" t="s">
        <v>256</v>
      </c>
      <c r="X208" s="200" t="s">
        <v>248</v>
      </c>
      <c r="Y208" s="202"/>
    </row>
    <row r="209" spans="1:25" ht="45" x14ac:dyDescent="0.25">
      <c r="A209" s="215">
        <v>208</v>
      </c>
      <c r="B209" s="203" t="s">
        <v>1107</v>
      </c>
      <c r="C209" s="204" t="s">
        <v>207</v>
      </c>
      <c r="D209" s="203" t="s">
        <v>250</v>
      </c>
      <c r="E209" s="203" t="s">
        <v>251</v>
      </c>
      <c r="F209" s="203" t="s">
        <v>242</v>
      </c>
      <c r="G209" s="203" t="s">
        <v>243</v>
      </c>
      <c r="H209" s="203" t="s">
        <v>243</v>
      </c>
      <c r="I209" s="203" t="s">
        <v>243</v>
      </c>
      <c r="J209" s="203" t="s">
        <v>243</v>
      </c>
      <c r="K209" s="203" t="s">
        <v>243</v>
      </c>
      <c r="L209" s="203" t="s">
        <v>243</v>
      </c>
      <c r="M209" s="203" t="s">
        <v>243</v>
      </c>
      <c r="N209" s="203" t="s">
        <v>243</v>
      </c>
      <c r="O209" s="300">
        <v>15</v>
      </c>
      <c r="P209" s="300">
        <v>7</v>
      </c>
      <c r="Q209" s="300">
        <v>7</v>
      </c>
      <c r="R209" s="300">
        <v>7</v>
      </c>
      <c r="S209" s="300"/>
      <c r="T209" s="203" t="s">
        <v>244</v>
      </c>
      <c r="U209" s="203" t="s">
        <v>245</v>
      </c>
      <c r="V209" s="203" t="s">
        <v>246</v>
      </c>
      <c r="W209" s="203" t="s">
        <v>247</v>
      </c>
      <c r="X209" s="203" t="s">
        <v>248</v>
      </c>
      <c r="Y209" s="205" t="s">
        <v>249</v>
      </c>
    </row>
    <row r="210" spans="1:25" s="4" customFormat="1" ht="30" x14ac:dyDescent="0.25">
      <c r="A210" s="214">
        <v>209</v>
      </c>
      <c r="B210" s="200" t="s">
        <v>1108</v>
      </c>
      <c r="C210" s="201" t="s">
        <v>208</v>
      </c>
      <c r="D210" s="200" t="s">
        <v>328</v>
      </c>
      <c r="E210" s="200" t="s">
        <v>241</v>
      </c>
      <c r="F210" s="200" t="s">
        <v>222</v>
      </c>
      <c r="G210" s="200" t="s">
        <v>243</v>
      </c>
      <c r="H210" s="200" t="s">
        <v>311</v>
      </c>
      <c r="I210" s="200" t="s">
        <v>243</v>
      </c>
      <c r="J210" s="200" t="s">
        <v>290</v>
      </c>
      <c r="K210" s="200" t="s">
        <v>243</v>
      </c>
      <c r="L210" s="200" t="s">
        <v>243</v>
      </c>
      <c r="M210" s="200" t="s">
        <v>243</v>
      </c>
      <c r="N210" s="200" t="s">
        <v>243</v>
      </c>
      <c r="O210" s="299">
        <v>5</v>
      </c>
      <c r="P210" s="299">
        <v>5</v>
      </c>
      <c r="Q210" s="299">
        <v>5</v>
      </c>
      <c r="R210" s="299">
        <v>5</v>
      </c>
      <c r="S210" s="299">
        <v>1</v>
      </c>
      <c r="T210" s="200" t="s">
        <v>373</v>
      </c>
      <c r="U210" s="200" t="s">
        <v>374</v>
      </c>
      <c r="V210" s="200" t="s">
        <v>246</v>
      </c>
      <c r="W210" s="200" t="s">
        <v>256</v>
      </c>
      <c r="X210" s="200" t="s">
        <v>299</v>
      </c>
      <c r="Y210" s="202" t="s">
        <v>375</v>
      </c>
    </row>
    <row r="211" spans="1:25" s="4" customFormat="1" ht="60" x14ac:dyDescent="0.25">
      <c r="A211" s="215">
        <v>210</v>
      </c>
      <c r="B211" s="203" t="s">
        <v>1109</v>
      </c>
      <c r="C211" s="204" t="s">
        <v>209</v>
      </c>
      <c r="D211" s="203" t="s">
        <v>336</v>
      </c>
      <c r="E211" s="203" t="s">
        <v>241</v>
      </c>
      <c r="F211" s="203" t="s">
        <v>242</v>
      </c>
      <c r="G211" s="203" t="s">
        <v>311</v>
      </c>
      <c r="H211" s="203" t="s">
        <v>311</v>
      </c>
      <c r="I211" s="203" t="s">
        <v>290</v>
      </c>
      <c r="J211" s="203" t="s">
        <v>243</v>
      </c>
      <c r="K211" s="203" t="s">
        <v>243</v>
      </c>
      <c r="L211" s="203" t="s">
        <v>243</v>
      </c>
      <c r="M211" s="203" t="s">
        <v>243</v>
      </c>
      <c r="N211" s="203" t="s">
        <v>243</v>
      </c>
      <c r="O211" s="300">
        <v>7</v>
      </c>
      <c r="P211" s="300">
        <v>7</v>
      </c>
      <c r="Q211" s="300">
        <v>12</v>
      </c>
      <c r="R211" s="300">
        <v>5</v>
      </c>
      <c r="S211" s="300">
        <v>3</v>
      </c>
      <c r="T211" s="203" t="s">
        <v>267</v>
      </c>
      <c r="U211" s="203" t="s">
        <v>321</v>
      </c>
      <c r="V211" s="203" t="s">
        <v>268</v>
      </c>
      <c r="W211" s="203" t="s">
        <v>376</v>
      </c>
      <c r="X211" s="203" t="s">
        <v>313</v>
      </c>
      <c r="Y211" s="205" t="s">
        <v>377</v>
      </c>
    </row>
    <row r="212" spans="1:25" s="4" customFormat="1" ht="60" x14ac:dyDescent="0.25">
      <c r="A212" s="214">
        <v>211</v>
      </c>
      <c r="B212" s="200" t="s">
        <v>1110</v>
      </c>
      <c r="C212" s="201" t="s">
        <v>210</v>
      </c>
      <c r="D212" s="200" t="s">
        <v>336</v>
      </c>
      <c r="E212" s="200" t="s">
        <v>241</v>
      </c>
      <c r="F212" s="200" t="s">
        <v>242</v>
      </c>
      <c r="G212" s="200" t="s">
        <v>311</v>
      </c>
      <c r="H212" s="200" t="s">
        <v>311</v>
      </c>
      <c r="I212" s="200" t="s">
        <v>290</v>
      </c>
      <c r="J212" s="200" t="s">
        <v>243</v>
      </c>
      <c r="K212" s="200" t="s">
        <v>243</v>
      </c>
      <c r="L212" s="200" t="s">
        <v>243</v>
      </c>
      <c r="M212" s="200" t="s">
        <v>243</v>
      </c>
      <c r="N212" s="200" t="s">
        <v>243</v>
      </c>
      <c r="O212" s="299">
        <v>7</v>
      </c>
      <c r="P212" s="299">
        <v>7</v>
      </c>
      <c r="Q212" s="299">
        <v>13</v>
      </c>
      <c r="R212" s="299">
        <v>6</v>
      </c>
      <c r="S212" s="299">
        <v>3</v>
      </c>
      <c r="T212" s="200" t="s">
        <v>267</v>
      </c>
      <c r="U212" s="200" t="s">
        <v>321</v>
      </c>
      <c r="V212" s="200" t="s">
        <v>268</v>
      </c>
      <c r="W212" s="200" t="s">
        <v>380</v>
      </c>
      <c r="X212" s="200" t="s">
        <v>313</v>
      </c>
      <c r="Y212" s="202" t="s">
        <v>377</v>
      </c>
    </row>
    <row r="213" spans="1:25" s="4" customFormat="1" ht="60" x14ac:dyDescent="0.25">
      <c r="A213" s="215">
        <v>212</v>
      </c>
      <c r="B213" s="203" t="s">
        <v>1111</v>
      </c>
      <c r="C213" s="204" t="s">
        <v>211</v>
      </c>
      <c r="D213" s="203" t="s">
        <v>381</v>
      </c>
      <c r="E213" s="203" t="s">
        <v>241</v>
      </c>
      <c r="F213" s="203" t="s">
        <v>242</v>
      </c>
      <c r="G213" s="203" t="s">
        <v>289</v>
      </c>
      <c r="H213" s="203" t="s">
        <v>311</v>
      </c>
      <c r="I213" s="203" t="s">
        <v>290</v>
      </c>
      <c r="J213" s="203" t="s">
        <v>243</v>
      </c>
      <c r="K213" s="203" t="s">
        <v>243</v>
      </c>
      <c r="L213" s="203" t="s">
        <v>243</v>
      </c>
      <c r="M213" s="203" t="s">
        <v>243</v>
      </c>
      <c r="N213" s="203" t="s">
        <v>243</v>
      </c>
      <c r="O213" s="300">
        <v>16</v>
      </c>
      <c r="P213" s="300">
        <v>7</v>
      </c>
      <c r="Q213" s="300">
        <v>7</v>
      </c>
      <c r="R213" s="300">
        <v>7</v>
      </c>
      <c r="S213" s="300">
        <v>2</v>
      </c>
      <c r="T213" s="203" t="s">
        <v>267</v>
      </c>
      <c r="U213" s="203" t="s">
        <v>321</v>
      </c>
      <c r="V213" s="203" t="s">
        <v>268</v>
      </c>
      <c r="W213" s="203" t="s">
        <v>256</v>
      </c>
      <c r="X213" s="203" t="s">
        <v>313</v>
      </c>
      <c r="Y213" s="205" t="s">
        <v>382</v>
      </c>
    </row>
    <row r="214" spans="1:25" s="4" customFormat="1" ht="45" x14ac:dyDescent="0.25">
      <c r="A214" s="214">
        <v>213</v>
      </c>
      <c r="B214" s="200" t="s">
        <v>1112</v>
      </c>
      <c r="C214" s="201" t="s">
        <v>212</v>
      </c>
      <c r="D214" s="200" t="s">
        <v>328</v>
      </c>
      <c r="E214" s="200" t="s">
        <v>241</v>
      </c>
      <c r="F214" s="200" t="s">
        <v>222</v>
      </c>
      <c r="G214" s="200" t="s">
        <v>289</v>
      </c>
      <c r="H214" s="200" t="s">
        <v>311</v>
      </c>
      <c r="I214" s="200" t="s">
        <v>338</v>
      </c>
      <c r="J214" s="200" t="s">
        <v>290</v>
      </c>
      <c r="K214" s="200" t="s">
        <v>243</v>
      </c>
      <c r="L214" s="200" t="s">
        <v>243</v>
      </c>
      <c r="M214" s="200" t="s">
        <v>243</v>
      </c>
      <c r="N214" s="200" t="s">
        <v>243</v>
      </c>
      <c r="O214" s="299">
        <v>20</v>
      </c>
      <c r="P214" s="299">
        <v>7</v>
      </c>
      <c r="Q214" s="299">
        <v>7</v>
      </c>
      <c r="R214" s="299">
        <v>7</v>
      </c>
      <c r="S214" s="299">
        <v>1</v>
      </c>
      <c r="T214" s="200" t="s">
        <v>244</v>
      </c>
      <c r="U214" s="200" t="s">
        <v>245</v>
      </c>
      <c r="V214" s="200" t="s">
        <v>246</v>
      </c>
      <c r="W214" s="200" t="s">
        <v>247</v>
      </c>
      <c r="X214" s="200" t="s">
        <v>248</v>
      </c>
      <c r="Y214" s="202" t="s">
        <v>383</v>
      </c>
    </row>
    <row r="215" spans="1:25" x14ac:dyDescent="0.25">
      <c r="A215" s="215">
        <v>214</v>
      </c>
      <c r="B215" s="203" t="s">
        <v>1113</v>
      </c>
      <c r="C215" s="204" t="s">
        <v>213</v>
      </c>
      <c r="D215" s="203" t="s">
        <v>250</v>
      </c>
      <c r="E215" s="203" t="s">
        <v>251</v>
      </c>
      <c r="F215" s="203" t="s">
        <v>242</v>
      </c>
      <c r="G215" s="203" t="s">
        <v>243</v>
      </c>
      <c r="H215" s="203" t="s">
        <v>243</v>
      </c>
      <c r="I215" s="203" t="s">
        <v>243</v>
      </c>
      <c r="J215" s="203" t="s">
        <v>243</v>
      </c>
      <c r="K215" s="203" t="s">
        <v>243</v>
      </c>
      <c r="L215" s="203" t="s">
        <v>243</v>
      </c>
      <c r="M215" s="203" t="s">
        <v>243</v>
      </c>
      <c r="N215" s="203" t="s">
        <v>243</v>
      </c>
      <c r="O215" s="300">
        <v>15</v>
      </c>
      <c r="P215" s="300">
        <v>7</v>
      </c>
      <c r="Q215" s="300">
        <v>7</v>
      </c>
      <c r="R215" s="300">
        <v>7</v>
      </c>
      <c r="S215" s="300"/>
      <c r="T215" s="203" t="s">
        <v>244</v>
      </c>
      <c r="U215" s="203" t="s">
        <v>245</v>
      </c>
      <c r="V215" s="203" t="s">
        <v>246</v>
      </c>
      <c r="W215" s="203" t="s">
        <v>247</v>
      </c>
      <c r="X215" s="203" t="s">
        <v>248</v>
      </c>
      <c r="Y215" s="205" t="s">
        <v>249</v>
      </c>
    </row>
    <row r="216" spans="1:25" ht="30" x14ac:dyDescent="0.25">
      <c r="A216" s="214">
        <v>215</v>
      </c>
      <c r="B216" s="200" t="s">
        <v>1114</v>
      </c>
      <c r="C216" s="201" t="s">
        <v>260</v>
      </c>
      <c r="D216" s="200" t="s">
        <v>250</v>
      </c>
      <c r="E216" s="200" t="s">
        <v>251</v>
      </c>
      <c r="F216" s="200" t="s">
        <v>242</v>
      </c>
      <c r="G216" s="200" t="s">
        <v>243</v>
      </c>
      <c r="H216" s="200" t="s">
        <v>243</v>
      </c>
      <c r="I216" s="200" t="s">
        <v>243</v>
      </c>
      <c r="J216" s="200" t="s">
        <v>243</v>
      </c>
      <c r="K216" s="200" t="s">
        <v>243</v>
      </c>
      <c r="L216" s="200" t="s">
        <v>243</v>
      </c>
      <c r="M216" s="200" t="s">
        <v>243</v>
      </c>
      <c r="N216" s="200" t="s">
        <v>243</v>
      </c>
      <c r="O216" s="299">
        <v>15</v>
      </c>
      <c r="P216" s="299">
        <v>7</v>
      </c>
      <c r="Q216" s="299">
        <v>7</v>
      </c>
      <c r="R216" s="299">
        <v>7</v>
      </c>
      <c r="S216" s="299"/>
      <c r="T216" s="200" t="s">
        <v>244</v>
      </c>
      <c r="U216" s="200" t="s">
        <v>245</v>
      </c>
      <c r="V216" s="200" t="s">
        <v>246</v>
      </c>
      <c r="W216" s="200" t="s">
        <v>261</v>
      </c>
      <c r="X216" s="200" t="s">
        <v>248</v>
      </c>
      <c r="Y216" s="202" t="s">
        <v>249</v>
      </c>
    </row>
    <row r="217" spans="1:25" x14ac:dyDescent="0.25">
      <c r="A217" s="215">
        <v>216</v>
      </c>
      <c r="B217" s="203" t="s">
        <v>1115</v>
      </c>
      <c r="C217" s="204" t="s">
        <v>214</v>
      </c>
      <c r="D217" s="203" t="s">
        <v>250</v>
      </c>
      <c r="E217" s="203" t="s">
        <v>251</v>
      </c>
      <c r="F217" s="203" t="s">
        <v>242</v>
      </c>
      <c r="G217" s="203" t="s">
        <v>243</v>
      </c>
      <c r="H217" s="203" t="s">
        <v>243</v>
      </c>
      <c r="I217" s="203" t="s">
        <v>243</v>
      </c>
      <c r="J217" s="203" t="s">
        <v>243</v>
      </c>
      <c r="K217" s="203" t="s">
        <v>243</v>
      </c>
      <c r="L217" s="203" t="s">
        <v>243</v>
      </c>
      <c r="M217" s="203" t="s">
        <v>243</v>
      </c>
      <c r="N217" s="203" t="s">
        <v>243</v>
      </c>
      <c r="O217" s="300">
        <v>15</v>
      </c>
      <c r="P217" s="300">
        <v>7</v>
      </c>
      <c r="Q217" s="300">
        <v>7</v>
      </c>
      <c r="R217" s="300">
        <v>7</v>
      </c>
      <c r="S217" s="300"/>
      <c r="T217" s="203" t="s">
        <v>244</v>
      </c>
      <c r="U217" s="203" t="s">
        <v>245</v>
      </c>
      <c r="V217" s="203" t="s">
        <v>246</v>
      </c>
      <c r="W217" s="203" t="s">
        <v>261</v>
      </c>
      <c r="X217" s="203" t="s">
        <v>248</v>
      </c>
      <c r="Y217" s="205" t="s">
        <v>249</v>
      </c>
    </row>
    <row r="218" spans="1:25" x14ac:dyDescent="0.25">
      <c r="A218" s="214">
        <v>217</v>
      </c>
      <c r="B218" s="200" t="s">
        <v>1116</v>
      </c>
      <c r="C218" s="201" t="s">
        <v>215</v>
      </c>
      <c r="D218" s="200" t="s">
        <v>250</v>
      </c>
      <c r="E218" s="200" t="s">
        <v>251</v>
      </c>
      <c r="F218" s="200" t="s">
        <v>242</v>
      </c>
      <c r="G218" s="200" t="s">
        <v>243</v>
      </c>
      <c r="H218" s="200" t="s">
        <v>243</v>
      </c>
      <c r="I218" s="200" t="s">
        <v>243</v>
      </c>
      <c r="J218" s="200" t="s">
        <v>243</v>
      </c>
      <c r="K218" s="200" t="s">
        <v>243</v>
      </c>
      <c r="L218" s="200" t="s">
        <v>243</v>
      </c>
      <c r="M218" s="200" t="s">
        <v>243</v>
      </c>
      <c r="N218" s="200" t="s">
        <v>243</v>
      </c>
      <c r="O218" s="299">
        <v>15</v>
      </c>
      <c r="P218" s="299">
        <v>7</v>
      </c>
      <c r="Q218" s="299">
        <v>7</v>
      </c>
      <c r="R218" s="299">
        <v>7</v>
      </c>
      <c r="S218" s="299"/>
      <c r="T218" s="200" t="s">
        <v>244</v>
      </c>
      <c r="U218" s="200" t="s">
        <v>245</v>
      </c>
      <c r="V218" s="200" t="s">
        <v>246</v>
      </c>
      <c r="W218" s="200" t="s">
        <v>247</v>
      </c>
      <c r="X218" s="200" t="s">
        <v>248</v>
      </c>
      <c r="Y218" s="202" t="s">
        <v>249</v>
      </c>
    </row>
    <row r="219" spans="1:25" x14ac:dyDescent="0.25">
      <c r="A219" s="215">
        <v>218</v>
      </c>
      <c r="B219" s="203" t="s">
        <v>1117</v>
      </c>
      <c r="C219" s="204" t="s">
        <v>216</v>
      </c>
      <c r="D219" s="203" t="s">
        <v>250</v>
      </c>
      <c r="E219" s="203" t="s">
        <v>251</v>
      </c>
      <c r="F219" s="203" t="s">
        <v>242</v>
      </c>
      <c r="G219" s="203" t="s">
        <v>243</v>
      </c>
      <c r="H219" s="203" t="s">
        <v>243</v>
      </c>
      <c r="I219" s="203" t="s">
        <v>243</v>
      </c>
      <c r="J219" s="203" t="s">
        <v>243</v>
      </c>
      <c r="K219" s="203" t="s">
        <v>243</v>
      </c>
      <c r="L219" s="203" t="s">
        <v>243</v>
      </c>
      <c r="M219" s="203" t="s">
        <v>243</v>
      </c>
      <c r="N219" s="203" t="s">
        <v>243</v>
      </c>
      <c r="O219" s="300">
        <v>15</v>
      </c>
      <c r="P219" s="300">
        <v>7</v>
      </c>
      <c r="Q219" s="300">
        <v>7</v>
      </c>
      <c r="R219" s="300">
        <v>7</v>
      </c>
      <c r="S219" s="300"/>
      <c r="T219" s="203" t="s">
        <v>244</v>
      </c>
      <c r="U219" s="203" t="s">
        <v>245</v>
      </c>
      <c r="V219" s="203" t="s">
        <v>246</v>
      </c>
      <c r="W219" s="203" t="s">
        <v>247</v>
      </c>
      <c r="X219" s="203" t="s">
        <v>248</v>
      </c>
      <c r="Y219" s="205" t="s">
        <v>249</v>
      </c>
    </row>
    <row r="220" spans="1:25" x14ac:dyDescent="0.25">
      <c r="A220" s="214">
        <v>219</v>
      </c>
      <c r="B220" s="200" t="s">
        <v>1118</v>
      </c>
      <c r="C220" s="201" t="s">
        <v>217</v>
      </c>
      <c r="D220" s="200" t="s">
        <v>250</v>
      </c>
      <c r="E220" s="200" t="s">
        <v>251</v>
      </c>
      <c r="F220" s="200" t="s">
        <v>242</v>
      </c>
      <c r="G220" s="200" t="s">
        <v>243</v>
      </c>
      <c r="H220" s="200" t="s">
        <v>243</v>
      </c>
      <c r="I220" s="200" t="s">
        <v>243</v>
      </c>
      <c r="J220" s="200" t="s">
        <v>243</v>
      </c>
      <c r="K220" s="200" t="s">
        <v>243</v>
      </c>
      <c r="L220" s="200" t="s">
        <v>243</v>
      </c>
      <c r="M220" s="200" t="s">
        <v>243</v>
      </c>
      <c r="N220" s="200" t="s">
        <v>243</v>
      </c>
      <c r="O220" s="299">
        <v>15</v>
      </c>
      <c r="P220" s="299">
        <v>7</v>
      </c>
      <c r="Q220" s="299">
        <v>7</v>
      </c>
      <c r="R220" s="299">
        <v>7</v>
      </c>
      <c r="S220" s="299"/>
      <c r="T220" s="200" t="s">
        <v>244</v>
      </c>
      <c r="U220" s="200" t="s">
        <v>245</v>
      </c>
      <c r="V220" s="200" t="s">
        <v>246</v>
      </c>
      <c r="W220" s="200" t="s">
        <v>247</v>
      </c>
      <c r="X220" s="200" t="s">
        <v>248</v>
      </c>
      <c r="Y220" s="202" t="s">
        <v>249</v>
      </c>
    </row>
    <row r="221" spans="1:25" ht="30" x14ac:dyDescent="0.25">
      <c r="A221" s="215">
        <v>220</v>
      </c>
      <c r="B221" s="203" t="s">
        <v>1119</v>
      </c>
      <c r="C221" s="204" t="s">
        <v>218</v>
      </c>
      <c r="D221" s="203" t="s">
        <v>250</v>
      </c>
      <c r="E221" s="203" t="s">
        <v>251</v>
      </c>
      <c r="F221" s="203" t="s">
        <v>242</v>
      </c>
      <c r="G221" s="203" t="s">
        <v>243</v>
      </c>
      <c r="H221" s="203" t="s">
        <v>243</v>
      </c>
      <c r="I221" s="203" t="s">
        <v>243</v>
      </c>
      <c r="J221" s="203" t="s">
        <v>243</v>
      </c>
      <c r="K221" s="203" t="s">
        <v>243</v>
      </c>
      <c r="L221" s="203" t="s">
        <v>243</v>
      </c>
      <c r="M221" s="203" t="s">
        <v>243</v>
      </c>
      <c r="N221" s="203" t="s">
        <v>243</v>
      </c>
      <c r="O221" s="300">
        <v>15</v>
      </c>
      <c r="P221" s="300">
        <v>7</v>
      </c>
      <c r="Q221" s="300">
        <v>7</v>
      </c>
      <c r="R221" s="300">
        <v>7</v>
      </c>
      <c r="S221" s="300"/>
      <c r="T221" s="203" t="s">
        <v>244</v>
      </c>
      <c r="U221" s="203" t="s">
        <v>245</v>
      </c>
      <c r="V221" s="203" t="s">
        <v>246</v>
      </c>
      <c r="W221" s="203" t="s">
        <v>247</v>
      </c>
      <c r="X221" s="203" t="s">
        <v>248</v>
      </c>
      <c r="Y221" s="205" t="s">
        <v>249</v>
      </c>
    </row>
    <row r="222" spans="1:25" x14ac:dyDescent="0.25">
      <c r="A222" s="214">
        <v>221</v>
      </c>
      <c r="B222" s="200" t="s">
        <v>1120</v>
      </c>
      <c r="C222" s="201" t="s">
        <v>393</v>
      </c>
      <c r="D222" s="200" t="s">
        <v>901</v>
      </c>
      <c r="E222" s="200" t="s">
        <v>241</v>
      </c>
      <c r="F222" s="200" t="s">
        <v>242</v>
      </c>
      <c r="G222" s="200" t="s">
        <v>243</v>
      </c>
      <c r="H222" s="200" t="s">
        <v>243</v>
      </c>
      <c r="I222" s="200" t="s">
        <v>243</v>
      </c>
      <c r="J222" s="200" t="s">
        <v>243</v>
      </c>
      <c r="K222" s="200" t="s">
        <v>243</v>
      </c>
      <c r="L222" s="200" t="s">
        <v>243</v>
      </c>
      <c r="M222" s="200" t="s">
        <v>243</v>
      </c>
      <c r="N222" s="200" t="s">
        <v>243</v>
      </c>
      <c r="O222" s="299" t="s">
        <v>243</v>
      </c>
      <c r="P222" s="299" t="s">
        <v>243</v>
      </c>
      <c r="Q222" s="299" t="s">
        <v>243</v>
      </c>
      <c r="R222" s="299" t="s">
        <v>243</v>
      </c>
      <c r="S222" s="299">
        <v>1</v>
      </c>
      <c r="T222" s="200" t="s">
        <v>291</v>
      </c>
      <c r="U222" s="200" t="s">
        <v>245</v>
      </c>
      <c r="V222" s="200" t="s">
        <v>394</v>
      </c>
      <c r="W222" s="200" t="s">
        <v>395</v>
      </c>
      <c r="X222" s="200" t="s">
        <v>396</v>
      </c>
      <c r="Y222" s="202" t="s">
        <v>249</v>
      </c>
    </row>
    <row r="223" spans="1:25" x14ac:dyDescent="0.25">
      <c r="A223" s="215">
        <v>222</v>
      </c>
      <c r="B223" s="203" t="s">
        <v>1121</v>
      </c>
      <c r="C223" s="204" t="s">
        <v>397</v>
      </c>
      <c r="D223" s="203" t="s">
        <v>901</v>
      </c>
      <c r="E223" s="203" t="s">
        <v>241</v>
      </c>
      <c r="F223" s="203" t="s">
        <v>222</v>
      </c>
      <c r="G223" s="203" t="s">
        <v>243</v>
      </c>
      <c r="H223" s="203" t="s">
        <v>243</v>
      </c>
      <c r="I223" s="203" t="s">
        <v>243</v>
      </c>
      <c r="J223" s="203" t="s">
        <v>243</v>
      </c>
      <c r="K223" s="203" t="s">
        <v>243</v>
      </c>
      <c r="L223" s="203" t="s">
        <v>243</v>
      </c>
      <c r="M223" s="203" t="s">
        <v>243</v>
      </c>
      <c r="N223" s="203" t="s">
        <v>243</v>
      </c>
      <c r="O223" s="300" t="s">
        <v>243</v>
      </c>
      <c r="P223" s="300" t="s">
        <v>243</v>
      </c>
      <c r="Q223" s="300" t="s">
        <v>243</v>
      </c>
      <c r="R223" s="300" t="s">
        <v>243</v>
      </c>
      <c r="S223" s="300">
        <v>1</v>
      </c>
      <c r="T223" s="203" t="s">
        <v>291</v>
      </c>
      <c r="U223" s="203" t="s">
        <v>245</v>
      </c>
      <c r="V223" s="203" t="s">
        <v>394</v>
      </c>
      <c r="W223" s="203" t="s">
        <v>395</v>
      </c>
      <c r="X223" s="203" t="s">
        <v>396</v>
      </c>
      <c r="Y223" s="205" t="s">
        <v>249</v>
      </c>
    </row>
    <row r="224" spans="1:25" x14ac:dyDescent="0.25">
      <c r="A224" s="214">
        <v>223</v>
      </c>
      <c r="B224" s="200" t="s">
        <v>1122</v>
      </c>
      <c r="C224" s="201" t="s">
        <v>398</v>
      </c>
      <c r="D224" s="200" t="s">
        <v>901</v>
      </c>
      <c r="E224" s="200" t="s">
        <v>241</v>
      </c>
      <c r="F224" s="200" t="s">
        <v>242</v>
      </c>
      <c r="G224" s="200" t="s">
        <v>243</v>
      </c>
      <c r="H224" s="200" t="s">
        <v>243</v>
      </c>
      <c r="I224" s="200" t="s">
        <v>243</v>
      </c>
      <c r="J224" s="200" t="s">
        <v>243</v>
      </c>
      <c r="K224" s="200" t="s">
        <v>243</v>
      </c>
      <c r="L224" s="200" t="s">
        <v>243</v>
      </c>
      <c r="M224" s="200" t="s">
        <v>243</v>
      </c>
      <c r="N224" s="200" t="s">
        <v>243</v>
      </c>
      <c r="O224" s="299" t="s">
        <v>243</v>
      </c>
      <c r="P224" s="299" t="s">
        <v>243</v>
      </c>
      <c r="Q224" s="299" t="s">
        <v>243</v>
      </c>
      <c r="R224" s="299" t="s">
        <v>243</v>
      </c>
      <c r="S224" s="299">
        <v>1</v>
      </c>
      <c r="T224" s="200" t="s">
        <v>291</v>
      </c>
      <c r="U224" s="200" t="s">
        <v>245</v>
      </c>
      <c r="V224" s="200" t="s">
        <v>394</v>
      </c>
      <c r="W224" s="200" t="s">
        <v>395</v>
      </c>
      <c r="X224" s="200" t="s">
        <v>399</v>
      </c>
      <c r="Y224" s="202" t="s">
        <v>249</v>
      </c>
    </row>
    <row r="225" spans="1:25" x14ac:dyDescent="0.25">
      <c r="A225" s="215"/>
      <c r="B225" s="203"/>
      <c r="C225" s="204"/>
      <c r="D225" s="203"/>
      <c r="E225" s="203"/>
      <c r="F225" s="203"/>
      <c r="G225" s="203"/>
      <c r="H225" s="203"/>
      <c r="I225" s="203"/>
      <c r="J225" s="203"/>
      <c r="K225" s="203"/>
      <c r="L225" s="203"/>
      <c r="M225" s="203"/>
      <c r="N225" s="203"/>
      <c r="O225" s="300"/>
      <c r="P225" s="300"/>
      <c r="Q225" s="300"/>
      <c r="R225" s="300"/>
      <c r="S225" s="300"/>
      <c r="T225" s="203"/>
      <c r="U225" s="203"/>
      <c r="V225" s="203"/>
      <c r="W225" s="203"/>
      <c r="X225" s="203"/>
      <c r="Y225" s="205"/>
    </row>
    <row r="226" spans="1:25" x14ac:dyDescent="0.25">
      <c r="A226" s="216"/>
      <c r="B226" s="211"/>
      <c r="C226" s="212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302"/>
      <c r="P226" s="302"/>
      <c r="Q226" s="302"/>
      <c r="R226" s="302"/>
      <c r="S226" s="302"/>
      <c r="T226" s="211"/>
      <c r="U226" s="211"/>
      <c r="V226" s="211"/>
      <c r="W226" s="211"/>
      <c r="X226" s="211"/>
      <c r="Y226" s="213"/>
    </row>
  </sheetData>
  <phoneticPr fontId="4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ADCD-89D3-44F4-86BB-7C205118198F}">
  <sheetPr codeName="Planilha4"/>
  <dimension ref="A1:BJ171"/>
  <sheetViews>
    <sheetView zoomScale="85" zoomScaleNormal="85" zoomScaleSheetLayoutView="115" workbookViewId="0">
      <pane ySplit="6" topLeftCell="A7" activePane="bottomLeft" state="frozen"/>
      <selection pane="bottomLeft" activeCell="A6" sqref="A6:F6"/>
    </sheetView>
  </sheetViews>
  <sheetFormatPr defaultColWidth="8.7109375" defaultRowHeight="14.25" x14ac:dyDescent="0.2"/>
  <cols>
    <col min="1" max="1" width="5.85546875" style="271" bestFit="1" customWidth="1"/>
    <col min="2" max="2" width="40.5703125" style="292" customWidth="1"/>
    <col min="3" max="3" width="8.7109375" style="146" customWidth="1"/>
    <col min="4" max="4" width="8.42578125" style="147" customWidth="1"/>
    <col min="5" max="5" width="9.140625" style="261" bestFit="1" customWidth="1"/>
    <col min="6" max="6" width="12.85546875" style="148" customWidth="1"/>
    <col min="7" max="8" width="10.140625" style="148" customWidth="1"/>
    <col min="9" max="9" width="1.7109375" style="149" customWidth="1"/>
    <col min="10" max="10" width="8.140625" style="150" customWidth="1"/>
    <col min="11" max="13" width="12.7109375" style="150" customWidth="1"/>
    <col min="14" max="14" width="1.5703125" style="151" customWidth="1"/>
    <col min="15" max="15" width="8.28515625" style="152" customWidth="1"/>
    <col min="16" max="16" width="12.7109375" style="153" customWidth="1"/>
    <col min="17" max="17" width="8.28515625" style="152" customWidth="1"/>
    <col min="18" max="18" width="12.7109375" style="153" customWidth="1"/>
    <col min="19" max="19" width="8.28515625" style="152" customWidth="1"/>
    <col min="20" max="20" width="12.7109375" style="153" customWidth="1"/>
    <col min="21" max="21" width="8.28515625" style="152" customWidth="1"/>
    <col min="22" max="22" width="12.7109375" style="153" customWidth="1"/>
    <col min="23" max="23" width="8.28515625" style="152" customWidth="1"/>
    <col min="24" max="24" width="12.7109375" style="153" customWidth="1"/>
    <col min="25" max="25" width="8.28515625" style="152" customWidth="1"/>
    <col min="26" max="26" width="12.7109375" style="153" customWidth="1"/>
    <col min="27" max="27" width="8.28515625" style="152" customWidth="1"/>
    <col min="28" max="28" width="12.7109375" style="153" customWidth="1"/>
    <col min="29" max="29" width="8.28515625" style="152" customWidth="1"/>
    <col min="30" max="30" width="12.7109375" style="153" customWidth="1"/>
    <col min="31" max="31" width="8.28515625" style="152" customWidth="1"/>
    <col min="32" max="32" width="12.7109375" style="153" customWidth="1"/>
    <col min="33" max="33" width="8.28515625" style="152" customWidth="1"/>
    <col min="34" max="34" width="12.7109375" style="153" customWidth="1"/>
    <col min="35" max="35" width="8.28515625" style="152" customWidth="1"/>
    <col min="36" max="36" width="12.7109375" style="153" customWidth="1"/>
    <col min="37" max="37" width="8.28515625" style="152" customWidth="1"/>
    <col min="38" max="38" width="12.7109375" style="153" customWidth="1"/>
    <col min="39" max="39" width="8.28515625" style="152" customWidth="1"/>
    <col min="40" max="40" width="12.7109375" style="153" customWidth="1"/>
    <col min="41" max="41" width="8.28515625" style="152" customWidth="1"/>
    <col min="42" max="42" width="12.7109375" style="153" customWidth="1"/>
    <col min="43" max="43" width="8.28515625" style="152" customWidth="1"/>
    <col min="44" max="44" width="12.7109375" style="153" customWidth="1"/>
    <col min="45" max="45" width="8.28515625" style="152" customWidth="1"/>
    <col min="46" max="46" width="12.7109375" style="153" customWidth="1"/>
    <col min="47" max="47" width="8.28515625" style="152" customWidth="1"/>
    <col min="48" max="48" width="12.7109375" style="153" customWidth="1"/>
    <col min="49" max="49" width="8.28515625" style="152" customWidth="1"/>
    <col min="50" max="50" width="12.7109375" style="153" customWidth="1"/>
    <col min="51" max="51" width="8.28515625" style="152" customWidth="1"/>
    <col min="52" max="52" width="12.7109375" style="153" customWidth="1"/>
    <col min="53" max="53" width="8.28515625" style="152" customWidth="1"/>
    <col min="54" max="54" width="12.7109375" style="153" customWidth="1"/>
    <col min="55" max="55" width="8.28515625" style="152" customWidth="1"/>
    <col min="56" max="56" width="12.7109375" style="153" customWidth="1"/>
    <col min="57" max="57" width="8.28515625" style="152" customWidth="1"/>
    <col min="58" max="58" width="12.7109375" style="153" customWidth="1"/>
    <col min="59" max="59" width="8.28515625" style="152" customWidth="1"/>
    <col min="60" max="60" width="12.7109375" style="153" customWidth="1"/>
    <col min="61" max="61" width="8.28515625" style="152" customWidth="1"/>
    <col min="62" max="62" width="12.7109375" style="153" customWidth="1"/>
    <col min="63" max="16384" width="8.7109375" style="151"/>
  </cols>
  <sheetData>
    <row r="1" spans="1:62" s="14" customFormat="1" ht="20.25" customHeight="1" x14ac:dyDescent="0.15">
      <c r="A1" s="262" t="s">
        <v>842</v>
      </c>
      <c r="B1" s="272"/>
      <c r="C1" s="9"/>
      <c r="D1" s="10"/>
      <c r="E1" s="249"/>
      <c r="F1" s="10"/>
      <c r="G1" s="12"/>
      <c r="H1" s="12"/>
      <c r="I1" s="11"/>
      <c r="J1" s="13"/>
      <c r="K1" s="13"/>
      <c r="L1" s="13"/>
      <c r="M1" s="13"/>
      <c r="P1" s="11"/>
      <c r="R1" s="11"/>
      <c r="T1" s="11"/>
      <c r="V1" s="11"/>
      <c r="X1" s="11"/>
      <c r="Z1" s="11"/>
      <c r="AB1" s="11"/>
      <c r="AD1" s="11"/>
      <c r="AF1" s="11"/>
      <c r="AH1" s="11"/>
      <c r="AJ1" s="11"/>
      <c r="AL1" s="11"/>
      <c r="AN1" s="11"/>
      <c r="AP1" s="11"/>
      <c r="AR1" s="11"/>
      <c r="AT1" s="11"/>
      <c r="AV1" s="11"/>
      <c r="AX1" s="11"/>
      <c r="AZ1" s="11"/>
      <c r="BB1" s="11"/>
      <c r="BD1" s="11"/>
      <c r="BF1" s="11"/>
      <c r="BH1" s="11"/>
      <c r="BJ1" s="11"/>
    </row>
    <row r="2" spans="1:62" s="20" customFormat="1" ht="13.5" customHeight="1" x14ac:dyDescent="0.2">
      <c r="A2" s="263" t="s">
        <v>843</v>
      </c>
      <c r="B2" s="273"/>
      <c r="C2" s="15"/>
      <c r="D2" s="16"/>
      <c r="E2" s="250"/>
      <c r="F2" s="17"/>
      <c r="G2" s="18"/>
      <c r="H2" s="18"/>
      <c r="I2" s="17"/>
      <c r="J2" s="19"/>
      <c r="K2" s="19"/>
      <c r="L2" s="19"/>
      <c r="M2" s="19"/>
      <c r="O2" s="20">
        <v>1</v>
      </c>
      <c r="P2" s="17"/>
      <c r="Q2" s="20">
        <v>2</v>
      </c>
      <c r="R2" s="17"/>
      <c r="S2" s="20">
        <v>3</v>
      </c>
      <c r="T2" s="17"/>
      <c r="U2" s="20">
        <v>4</v>
      </c>
      <c r="V2" s="17"/>
      <c r="W2" s="20">
        <v>5</v>
      </c>
      <c r="X2" s="17"/>
      <c r="Y2" s="20">
        <v>6</v>
      </c>
      <c r="Z2" s="17"/>
      <c r="AA2" s="20">
        <v>7</v>
      </c>
      <c r="AB2" s="17"/>
      <c r="AC2" s="20">
        <v>8</v>
      </c>
      <c r="AD2" s="17"/>
      <c r="AE2" s="20">
        <v>9</v>
      </c>
      <c r="AF2" s="17"/>
      <c r="AG2" s="20">
        <v>10</v>
      </c>
      <c r="AH2" s="17"/>
      <c r="AI2" s="20">
        <v>11</v>
      </c>
      <c r="AJ2" s="17"/>
      <c r="AK2" s="20">
        <v>12</v>
      </c>
      <c r="AL2" s="17"/>
      <c r="AM2" s="20">
        <v>13</v>
      </c>
      <c r="AN2" s="17"/>
      <c r="AO2" s="20">
        <v>14</v>
      </c>
      <c r="AP2" s="17"/>
      <c r="AQ2" s="20">
        <v>15</v>
      </c>
      <c r="AR2" s="17"/>
      <c r="AS2" s="20">
        <v>16</v>
      </c>
      <c r="AT2" s="17"/>
      <c r="AU2" s="20">
        <v>17</v>
      </c>
      <c r="AV2" s="17"/>
      <c r="AW2" s="20">
        <v>18</v>
      </c>
      <c r="AX2" s="17"/>
      <c r="AY2" s="20">
        <v>19</v>
      </c>
      <c r="AZ2" s="17"/>
      <c r="BA2" s="20">
        <v>20</v>
      </c>
      <c r="BB2" s="17"/>
      <c r="BC2" s="20">
        <v>21</v>
      </c>
      <c r="BD2" s="17"/>
      <c r="BE2" s="20">
        <v>22</v>
      </c>
      <c r="BF2" s="17"/>
      <c r="BG2" s="20">
        <v>23</v>
      </c>
      <c r="BH2" s="17"/>
      <c r="BI2" s="20">
        <v>24</v>
      </c>
      <c r="BJ2" s="17"/>
    </row>
    <row r="3" spans="1:62" s="24" customFormat="1" ht="6" customHeight="1" x14ac:dyDescent="0.25">
      <c r="A3" s="251"/>
      <c r="B3" s="274"/>
      <c r="C3" s="21"/>
      <c r="D3" s="21"/>
      <c r="E3" s="251"/>
      <c r="F3" s="21"/>
      <c r="G3" s="21"/>
      <c r="H3" s="21"/>
      <c r="I3" s="22"/>
      <c r="J3" s="23"/>
      <c r="K3" s="23"/>
      <c r="L3" s="23"/>
      <c r="M3" s="23"/>
      <c r="P3" s="22"/>
      <c r="R3" s="22"/>
      <c r="T3" s="22"/>
      <c r="V3" s="22"/>
      <c r="X3" s="22"/>
      <c r="Z3" s="22"/>
      <c r="AB3" s="22"/>
      <c r="AD3" s="22"/>
      <c r="AF3" s="22"/>
      <c r="AH3" s="22"/>
      <c r="AI3" s="25" t="s">
        <v>844</v>
      </c>
      <c r="AJ3" s="26"/>
      <c r="AK3" s="25"/>
      <c r="AL3" s="26"/>
      <c r="AN3" s="22"/>
      <c r="AP3" s="22"/>
      <c r="AR3" s="22"/>
      <c r="AT3" s="22"/>
      <c r="AV3" s="22"/>
      <c r="AX3" s="22"/>
      <c r="AZ3" s="22"/>
      <c r="BB3" s="22"/>
      <c r="BD3" s="22"/>
      <c r="BF3" s="22"/>
      <c r="BG3" s="25" t="s">
        <v>844</v>
      </c>
      <c r="BH3" s="26"/>
      <c r="BJ3" s="22"/>
    </row>
    <row r="4" spans="1:62" s="32" customFormat="1" ht="15" customHeight="1" x14ac:dyDescent="0.2">
      <c r="A4" s="264"/>
      <c r="B4" s="275"/>
      <c r="C4" s="27" t="s">
        <v>417</v>
      </c>
      <c r="D4" s="28"/>
      <c r="E4" s="252" t="s">
        <v>845</v>
      </c>
      <c r="F4" s="29"/>
      <c r="G4" s="30">
        <v>45078</v>
      </c>
      <c r="H4" s="30">
        <v>45444</v>
      </c>
      <c r="I4" s="31"/>
      <c r="J4" s="335" t="s">
        <v>846</v>
      </c>
      <c r="K4" s="336"/>
      <c r="L4" s="339" t="s">
        <v>847</v>
      </c>
      <c r="M4" s="340"/>
      <c r="O4" s="33">
        <v>44774</v>
      </c>
      <c r="P4" s="34"/>
      <c r="Q4" s="33">
        <v>44805</v>
      </c>
      <c r="R4" s="34"/>
      <c r="S4" s="33">
        <v>44835</v>
      </c>
      <c r="T4" s="34"/>
      <c r="U4" s="33">
        <v>44866</v>
      </c>
      <c r="V4" s="34"/>
      <c r="W4" s="33">
        <v>44896</v>
      </c>
      <c r="X4" s="35"/>
      <c r="Y4" s="33">
        <v>44927</v>
      </c>
      <c r="Z4" s="35"/>
      <c r="AA4" s="33">
        <v>44958</v>
      </c>
      <c r="AB4" s="35"/>
      <c r="AC4" s="33">
        <v>44986</v>
      </c>
      <c r="AD4" s="35"/>
      <c r="AE4" s="33">
        <v>45017</v>
      </c>
      <c r="AF4" s="35"/>
      <c r="AG4" s="33">
        <v>45047</v>
      </c>
      <c r="AH4" s="35"/>
      <c r="AI4" s="36">
        <v>45078</v>
      </c>
      <c r="AJ4" s="37"/>
      <c r="AK4" s="33">
        <v>45108</v>
      </c>
      <c r="AL4" s="35"/>
      <c r="AM4" s="33">
        <v>44774</v>
      </c>
      <c r="AN4" s="35"/>
      <c r="AO4" s="33">
        <v>44805</v>
      </c>
      <c r="AP4" s="35"/>
      <c r="AQ4" s="33">
        <v>44835</v>
      </c>
      <c r="AR4" s="35"/>
      <c r="AS4" s="33">
        <v>44866</v>
      </c>
      <c r="AT4" s="35"/>
      <c r="AU4" s="33">
        <v>44896</v>
      </c>
      <c r="AV4" s="35"/>
      <c r="AW4" s="33">
        <v>44927</v>
      </c>
      <c r="AX4" s="35"/>
      <c r="AY4" s="33">
        <v>44958</v>
      </c>
      <c r="AZ4" s="35"/>
      <c r="BA4" s="33">
        <v>44986</v>
      </c>
      <c r="BB4" s="35"/>
      <c r="BC4" s="33">
        <v>45017</v>
      </c>
      <c r="BD4" s="35"/>
      <c r="BE4" s="33">
        <v>45047</v>
      </c>
      <c r="BF4" s="35"/>
      <c r="BG4" s="36">
        <v>45078</v>
      </c>
      <c r="BH4" s="37"/>
      <c r="BI4" s="33">
        <v>45108</v>
      </c>
      <c r="BJ4" s="35"/>
    </row>
    <row r="5" spans="1:62" s="32" customFormat="1" ht="12" customHeight="1" x14ac:dyDescent="0.2">
      <c r="A5" s="265" t="s">
        <v>414</v>
      </c>
      <c r="B5" s="276" t="s">
        <v>415</v>
      </c>
      <c r="C5" s="39" t="s">
        <v>848</v>
      </c>
      <c r="D5" s="38" t="s">
        <v>849</v>
      </c>
      <c r="E5" s="253"/>
      <c r="F5" s="40"/>
      <c r="G5" s="41" t="s">
        <v>850</v>
      </c>
      <c r="H5" s="41" t="s">
        <v>850</v>
      </c>
      <c r="I5" s="31"/>
      <c r="J5" s="337"/>
      <c r="K5" s="338"/>
      <c r="L5" s="42" t="s">
        <v>851</v>
      </c>
      <c r="M5" s="42" t="s">
        <v>852</v>
      </c>
      <c r="O5" s="43"/>
      <c r="P5" s="44"/>
      <c r="Q5" s="43"/>
      <c r="R5" s="44"/>
      <c r="S5" s="43"/>
      <c r="T5" s="44"/>
      <c r="U5" s="43"/>
      <c r="V5" s="44"/>
      <c r="W5" s="43"/>
      <c r="X5" s="45"/>
      <c r="Y5" s="43"/>
      <c r="Z5" s="45"/>
      <c r="AA5" s="43"/>
      <c r="AB5" s="45"/>
      <c r="AC5" s="43"/>
      <c r="AD5" s="45"/>
      <c r="AE5" s="43"/>
      <c r="AF5" s="45"/>
      <c r="AG5" s="43"/>
      <c r="AH5" s="45"/>
      <c r="AI5" s="46"/>
      <c r="AJ5" s="47"/>
      <c r="AK5" s="43"/>
      <c r="AL5" s="45"/>
      <c r="AM5" s="43"/>
      <c r="AN5" s="45"/>
      <c r="AO5" s="43"/>
      <c r="AP5" s="45"/>
      <c r="AQ5" s="43"/>
      <c r="AR5" s="45"/>
      <c r="AS5" s="43"/>
      <c r="AT5" s="45"/>
      <c r="AU5" s="43"/>
      <c r="AV5" s="45"/>
      <c r="AW5" s="43"/>
      <c r="AX5" s="45"/>
      <c r="AY5" s="43"/>
      <c r="AZ5" s="45"/>
      <c r="BA5" s="43"/>
      <c r="BB5" s="45"/>
      <c r="BC5" s="43"/>
      <c r="BD5" s="45"/>
      <c r="BE5" s="43"/>
      <c r="BF5" s="45"/>
      <c r="BG5" s="46"/>
      <c r="BH5" s="47"/>
      <c r="BI5" s="43"/>
      <c r="BJ5" s="45"/>
    </row>
    <row r="6" spans="1:62" s="32" customFormat="1" ht="12" customHeight="1" x14ac:dyDescent="0.25">
      <c r="A6" s="266"/>
      <c r="B6" s="277"/>
      <c r="C6" s="49" t="s">
        <v>853</v>
      </c>
      <c r="D6" s="48"/>
      <c r="E6" s="254" t="s">
        <v>854</v>
      </c>
      <c r="F6" s="50" t="s">
        <v>418</v>
      </c>
      <c r="G6" s="51"/>
      <c r="H6" s="51"/>
      <c r="I6" s="31"/>
      <c r="J6" s="52" t="s">
        <v>417</v>
      </c>
      <c r="K6" s="52" t="s">
        <v>855</v>
      </c>
      <c r="L6" s="53" t="s">
        <v>856</v>
      </c>
      <c r="M6" s="53" t="s">
        <v>857</v>
      </c>
      <c r="O6" s="54" t="s">
        <v>417</v>
      </c>
      <c r="P6" s="55" t="s">
        <v>416</v>
      </c>
      <c r="Q6" s="54" t="s">
        <v>417</v>
      </c>
      <c r="R6" s="55" t="s">
        <v>416</v>
      </c>
      <c r="S6" s="54" t="s">
        <v>417</v>
      </c>
      <c r="T6" s="55" t="s">
        <v>416</v>
      </c>
      <c r="U6" s="54" t="s">
        <v>417</v>
      </c>
      <c r="V6" s="55" t="s">
        <v>416</v>
      </c>
      <c r="W6" s="54" t="s">
        <v>417</v>
      </c>
      <c r="X6" s="55" t="s">
        <v>416</v>
      </c>
      <c r="Y6" s="54" t="s">
        <v>417</v>
      </c>
      <c r="Z6" s="55" t="s">
        <v>416</v>
      </c>
      <c r="AA6" s="54" t="s">
        <v>417</v>
      </c>
      <c r="AB6" s="55" t="s">
        <v>416</v>
      </c>
      <c r="AC6" s="54" t="s">
        <v>417</v>
      </c>
      <c r="AD6" s="55" t="s">
        <v>416</v>
      </c>
      <c r="AE6" s="54" t="s">
        <v>417</v>
      </c>
      <c r="AF6" s="55" t="s">
        <v>416</v>
      </c>
      <c r="AG6" s="54" t="s">
        <v>417</v>
      </c>
      <c r="AH6" s="55" t="s">
        <v>416</v>
      </c>
      <c r="AI6" s="56" t="s">
        <v>417</v>
      </c>
      <c r="AJ6" s="57" t="s">
        <v>416</v>
      </c>
      <c r="AK6" s="54" t="s">
        <v>417</v>
      </c>
      <c r="AL6" s="55" t="s">
        <v>416</v>
      </c>
      <c r="AM6" s="54" t="s">
        <v>417</v>
      </c>
      <c r="AN6" s="55" t="s">
        <v>416</v>
      </c>
      <c r="AO6" s="54" t="s">
        <v>417</v>
      </c>
      <c r="AP6" s="55" t="s">
        <v>416</v>
      </c>
      <c r="AQ6" s="54" t="s">
        <v>417</v>
      </c>
      <c r="AR6" s="55" t="s">
        <v>416</v>
      </c>
      <c r="AS6" s="54" t="s">
        <v>417</v>
      </c>
      <c r="AT6" s="55" t="s">
        <v>416</v>
      </c>
      <c r="AU6" s="54" t="s">
        <v>417</v>
      </c>
      <c r="AV6" s="55" t="s">
        <v>416</v>
      </c>
      <c r="AW6" s="54" t="s">
        <v>417</v>
      </c>
      <c r="AX6" s="55" t="s">
        <v>416</v>
      </c>
      <c r="AY6" s="54" t="s">
        <v>417</v>
      </c>
      <c r="AZ6" s="55" t="s">
        <v>416</v>
      </c>
      <c r="BA6" s="54" t="s">
        <v>417</v>
      </c>
      <c r="BB6" s="55" t="s">
        <v>416</v>
      </c>
      <c r="BC6" s="54" t="s">
        <v>417</v>
      </c>
      <c r="BD6" s="55" t="s">
        <v>416</v>
      </c>
      <c r="BE6" s="54" t="s">
        <v>417</v>
      </c>
      <c r="BF6" s="55" t="s">
        <v>416</v>
      </c>
      <c r="BG6" s="56" t="s">
        <v>417</v>
      </c>
      <c r="BH6" s="57" t="s">
        <v>416</v>
      </c>
      <c r="BI6" s="54" t="s">
        <v>417</v>
      </c>
      <c r="BJ6" s="55" t="s">
        <v>416</v>
      </c>
    </row>
    <row r="7" spans="1:62" s="24" customFormat="1" ht="19.5" customHeight="1" x14ac:dyDescent="0.25">
      <c r="A7" s="267"/>
      <c r="B7" s="278" t="s">
        <v>403</v>
      </c>
      <c r="C7" s="58"/>
      <c r="D7" s="58"/>
      <c r="E7" s="255"/>
      <c r="F7" s="59"/>
      <c r="G7" s="60"/>
      <c r="H7" s="61"/>
      <c r="I7" s="22"/>
      <c r="J7" s="62"/>
      <c r="K7" s="63"/>
      <c r="L7" s="64"/>
      <c r="M7" s="64"/>
      <c r="O7" s="65"/>
      <c r="P7" s="66"/>
      <c r="Q7" s="65"/>
      <c r="R7" s="66"/>
      <c r="S7" s="65"/>
      <c r="T7" s="66"/>
      <c r="U7" s="65"/>
      <c r="V7" s="66"/>
      <c r="W7" s="65"/>
      <c r="X7" s="66"/>
      <c r="Y7" s="65"/>
      <c r="Z7" s="66"/>
      <c r="AA7" s="65"/>
      <c r="AB7" s="66"/>
      <c r="AC7" s="65"/>
      <c r="AD7" s="66"/>
      <c r="AE7" s="65"/>
      <c r="AF7" s="66"/>
      <c r="AG7" s="65"/>
      <c r="AH7" s="66"/>
      <c r="AI7" s="65"/>
      <c r="AJ7" s="66"/>
      <c r="AK7" s="65"/>
      <c r="AL7" s="66"/>
      <c r="AM7" s="65"/>
      <c r="AN7" s="66"/>
      <c r="AO7" s="65"/>
      <c r="AP7" s="66"/>
      <c r="AQ7" s="65"/>
      <c r="AR7" s="66"/>
      <c r="AS7" s="65"/>
      <c r="AT7" s="66"/>
      <c r="AU7" s="65"/>
      <c r="AV7" s="66"/>
      <c r="AW7" s="65"/>
      <c r="AX7" s="66"/>
      <c r="AY7" s="65"/>
      <c r="AZ7" s="66"/>
      <c r="BA7" s="65"/>
      <c r="BB7" s="66"/>
      <c r="BC7" s="65"/>
      <c r="BD7" s="66"/>
      <c r="BE7" s="65"/>
      <c r="BF7" s="66"/>
      <c r="BG7" s="65"/>
      <c r="BH7" s="66"/>
      <c r="BI7" s="65"/>
      <c r="BJ7" s="66"/>
    </row>
    <row r="8" spans="1:62" s="24" customFormat="1" ht="12" x14ac:dyDescent="0.25">
      <c r="A8" s="236"/>
      <c r="B8" s="306"/>
      <c r="C8" s="67"/>
      <c r="D8" s="67"/>
      <c r="E8" s="256"/>
      <c r="F8" s="68"/>
      <c r="G8" s="69"/>
      <c r="H8" s="70"/>
      <c r="I8" s="22"/>
      <c r="J8" s="71"/>
      <c r="K8" s="72"/>
      <c r="L8" s="73"/>
      <c r="M8" s="73"/>
      <c r="O8" s="74"/>
      <c r="P8" s="75"/>
      <c r="Q8" s="74"/>
      <c r="R8" s="75"/>
      <c r="S8" s="74"/>
      <c r="T8" s="75"/>
      <c r="U8" s="74"/>
      <c r="V8" s="75"/>
      <c r="W8" s="74"/>
      <c r="X8" s="75"/>
      <c r="Y8" s="74"/>
      <c r="Z8" s="75"/>
      <c r="AA8" s="74"/>
      <c r="AB8" s="75"/>
      <c r="AC8" s="74"/>
      <c r="AD8" s="75"/>
      <c r="AE8" s="74"/>
      <c r="AF8" s="75"/>
      <c r="AG8" s="74"/>
      <c r="AH8" s="75"/>
      <c r="AI8" s="74"/>
      <c r="AJ8" s="75"/>
      <c r="AK8" s="74"/>
      <c r="AL8" s="75"/>
      <c r="AM8" s="74"/>
      <c r="AN8" s="75"/>
      <c r="AO8" s="74"/>
      <c r="AP8" s="75"/>
      <c r="AQ8" s="74"/>
      <c r="AR8" s="75"/>
      <c r="AS8" s="74"/>
      <c r="AT8" s="75"/>
      <c r="AU8" s="74"/>
      <c r="AV8" s="75"/>
      <c r="AW8" s="74"/>
      <c r="AX8" s="75"/>
      <c r="AY8" s="74"/>
      <c r="AZ8" s="75"/>
      <c r="BA8" s="74"/>
      <c r="BB8" s="75"/>
      <c r="BC8" s="74"/>
      <c r="BD8" s="75"/>
      <c r="BE8" s="74"/>
      <c r="BF8" s="75"/>
      <c r="BG8" s="74"/>
      <c r="BH8" s="75"/>
      <c r="BI8" s="74"/>
      <c r="BJ8" s="75"/>
    </row>
    <row r="9" spans="1:62" s="24" customFormat="1" ht="12" x14ac:dyDescent="0.25">
      <c r="A9" s="237" t="s">
        <v>404</v>
      </c>
      <c r="B9" s="280" t="s">
        <v>405</v>
      </c>
      <c r="C9" s="76">
        <v>50000</v>
      </c>
      <c r="D9" s="77" t="s">
        <v>858</v>
      </c>
      <c r="E9" s="246">
        <v>0.14000000000000001</v>
      </c>
      <c r="F9" s="78">
        <f>$C9*E9</f>
        <v>7000.0000000000009</v>
      </c>
      <c r="G9" s="79">
        <f>E9*$G$6</f>
        <v>0</v>
      </c>
      <c r="H9" s="79">
        <f>E9*$H$6</f>
        <v>0</v>
      </c>
      <c r="I9" s="22"/>
      <c r="J9" s="80">
        <f>C9-(O9+Q9+S9+U9+W9+Y9+AA9+AC9+AE9+AG9+AI9+AK9+AM9+AO9+AQ9+AS9+AU9+AW9+AY9+BA9+BC9+BE9+BG9+BI9)</f>
        <v>45000</v>
      </c>
      <c r="K9" s="81">
        <f>J9*E9</f>
        <v>6300.0000000000009</v>
      </c>
      <c r="L9" s="82">
        <f>J9*G9</f>
        <v>0</v>
      </c>
      <c r="M9" s="82">
        <f>J9*H9</f>
        <v>0</v>
      </c>
      <c r="O9" s="83">
        <v>5000</v>
      </c>
      <c r="P9" s="84">
        <f>O9*E9</f>
        <v>700.00000000000011</v>
      </c>
      <c r="Q9" s="83"/>
      <c r="R9" s="84">
        <f>Q9*$E9</f>
        <v>0</v>
      </c>
      <c r="S9" s="83"/>
      <c r="T9" s="84">
        <f>S9*$E9</f>
        <v>0</v>
      </c>
      <c r="U9" s="83"/>
      <c r="V9" s="84">
        <f>U9*$E9</f>
        <v>0</v>
      </c>
      <c r="W9" s="83"/>
      <c r="X9" s="84">
        <f>W9*$E9</f>
        <v>0</v>
      </c>
      <c r="Y9" s="83"/>
      <c r="Z9" s="84">
        <f>Y9*$E9</f>
        <v>0</v>
      </c>
      <c r="AA9" s="83"/>
      <c r="AB9" s="84">
        <f>AA9*$E9</f>
        <v>0</v>
      </c>
      <c r="AC9" s="83"/>
      <c r="AD9" s="84">
        <f>AC9*$E9</f>
        <v>0</v>
      </c>
      <c r="AE9" s="83"/>
      <c r="AF9" s="84">
        <f>AE9*$E9</f>
        <v>0</v>
      </c>
      <c r="AG9" s="83"/>
      <c r="AH9" s="84">
        <f>AG9*$E9</f>
        <v>0</v>
      </c>
      <c r="AI9" s="83"/>
      <c r="AJ9" s="84">
        <f>AI9*$E9</f>
        <v>0</v>
      </c>
      <c r="AK9" s="83"/>
      <c r="AL9" s="84">
        <f>AK9*$E9</f>
        <v>0</v>
      </c>
      <c r="AM9" s="83"/>
      <c r="AN9" s="84">
        <f>AM9*AC9</f>
        <v>0</v>
      </c>
      <c r="AO9" s="83"/>
      <c r="AP9" s="84">
        <f>AO9*$E9</f>
        <v>0</v>
      </c>
      <c r="AQ9" s="83"/>
      <c r="AR9" s="84">
        <f>AQ9*$E9</f>
        <v>0</v>
      </c>
      <c r="AS9" s="83"/>
      <c r="AT9" s="84">
        <f>AS9*$E9</f>
        <v>0</v>
      </c>
      <c r="AU9" s="83"/>
      <c r="AV9" s="84">
        <f>AU9*$E9</f>
        <v>0</v>
      </c>
      <c r="AW9" s="83"/>
      <c r="AX9" s="84">
        <f>AW9*$E9</f>
        <v>0</v>
      </c>
      <c r="AY9" s="83"/>
      <c r="AZ9" s="84">
        <f>AY9*$E9</f>
        <v>0</v>
      </c>
      <c r="BA9" s="83"/>
      <c r="BB9" s="84">
        <f>BA9*$E9</f>
        <v>0</v>
      </c>
      <c r="BC9" s="83"/>
      <c r="BD9" s="84">
        <f>BC9*$E9</f>
        <v>0</v>
      </c>
      <c r="BE9" s="83"/>
      <c r="BF9" s="84">
        <f>BE9*$E9</f>
        <v>0</v>
      </c>
      <c r="BG9" s="83"/>
      <c r="BH9" s="84">
        <f>BG9*$E9</f>
        <v>0</v>
      </c>
      <c r="BI9" s="83"/>
      <c r="BJ9" s="84">
        <f>BI9*$E9</f>
        <v>0</v>
      </c>
    </row>
    <row r="10" spans="1:62" s="24" customFormat="1" ht="12" x14ac:dyDescent="0.25">
      <c r="A10" s="238" t="s">
        <v>406</v>
      </c>
      <c r="B10" s="281" t="s">
        <v>407</v>
      </c>
      <c r="C10" s="85">
        <v>650000</v>
      </c>
      <c r="D10" s="86" t="s">
        <v>858</v>
      </c>
      <c r="E10" s="247">
        <v>0.08</v>
      </c>
      <c r="F10" s="87">
        <f t="shared" ref="F10:F73" si="0">ROUND(($C10*E10),2)</f>
        <v>52000</v>
      </c>
      <c r="G10" s="88">
        <f t="shared" ref="G10:G73" si="1">E10*$G$6</f>
        <v>0</v>
      </c>
      <c r="H10" s="88">
        <f t="shared" ref="H10:H73" si="2">E10*$H$6</f>
        <v>0</v>
      </c>
      <c r="I10" s="22"/>
      <c r="J10" s="89">
        <f>C10-(O10+Q10+S10+U10+W10+Y10+AA10+AC10+AE10+AG10+AI10+AK10+AM10+AO10+AQ10+AS10+AU10+AW10+AY10+BA10+BC10+BE10+BG10+BI10)</f>
        <v>650000</v>
      </c>
      <c r="K10" s="90">
        <f t="shared" ref="K10:K73" si="3">J10*E10</f>
        <v>52000</v>
      </c>
      <c r="L10" s="91">
        <f t="shared" ref="L10:L73" si="4">J10*G10</f>
        <v>0</v>
      </c>
      <c r="M10" s="91">
        <f t="shared" ref="M10:M13" si="5">J10*H10</f>
        <v>0</v>
      </c>
      <c r="O10" s="92"/>
      <c r="P10" s="93">
        <f>O10*E10</f>
        <v>0</v>
      </c>
      <c r="Q10" s="92"/>
      <c r="R10" s="93">
        <f t="shared" ref="R10:R73" si="6">Q10*$E10</f>
        <v>0</v>
      </c>
      <c r="S10" s="92"/>
      <c r="T10" s="93">
        <f t="shared" ref="T10:T73" si="7">S10*$E10</f>
        <v>0</v>
      </c>
      <c r="U10" s="92"/>
      <c r="V10" s="93">
        <f t="shared" ref="V10:V73" si="8">U10*$E10</f>
        <v>0</v>
      </c>
      <c r="W10" s="92"/>
      <c r="X10" s="93">
        <f t="shared" ref="X10:X73" si="9">W10*$E10</f>
        <v>0</v>
      </c>
      <c r="Y10" s="92"/>
      <c r="Z10" s="93">
        <f t="shared" ref="Z10:Z73" si="10">Y10*$E10</f>
        <v>0</v>
      </c>
      <c r="AA10" s="92"/>
      <c r="AB10" s="93">
        <f t="shared" ref="AB10:AB73" si="11">AA10*$E10</f>
        <v>0</v>
      </c>
      <c r="AC10" s="92"/>
      <c r="AD10" s="93">
        <f t="shared" ref="AD10:AD73" si="12">AC10*$E10</f>
        <v>0</v>
      </c>
      <c r="AE10" s="92"/>
      <c r="AF10" s="93">
        <f t="shared" ref="AF10:AF73" si="13">AE10*$E10</f>
        <v>0</v>
      </c>
      <c r="AG10" s="92"/>
      <c r="AH10" s="93">
        <f t="shared" ref="AH10:AH73" si="14">AG10*$E10</f>
        <v>0</v>
      </c>
      <c r="AI10" s="92"/>
      <c r="AJ10" s="93">
        <f t="shared" ref="AJ10:AL73" si="15">AI10*$E10</f>
        <v>0</v>
      </c>
      <c r="AK10" s="92"/>
      <c r="AL10" s="93">
        <f t="shared" si="15"/>
        <v>0</v>
      </c>
      <c r="AM10" s="92"/>
      <c r="AN10" s="93">
        <f>AM10*AC10</f>
        <v>0</v>
      </c>
      <c r="AO10" s="92"/>
      <c r="AP10" s="93">
        <f t="shared" ref="AP10:AP73" si="16">AO10*$E10</f>
        <v>0</v>
      </c>
      <c r="AQ10" s="92"/>
      <c r="AR10" s="93">
        <f t="shared" ref="AR10:AR73" si="17">AQ10*$E10</f>
        <v>0</v>
      </c>
      <c r="AS10" s="92"/>
      <c r="AT10" s="93">
        <f t="shared" ref="AT10:AT73" si="18">AS10*$E10</f>
        <v>0</v>
      </c>
      <c r="AU10" s="92"/>
      <c r="AV10" s="93">
        <f t="shared" ref="AV10:AV73" si="19">AU10*$E10</f>
        <v>0</v>
      </c>
      <c r="AW10" s="92"/>
      <c r="AX10" s="93">
        <f t="shared" ref="AX10:AX73" si="20">AW10*$E10</f>
        <v>0</v>
      </c>
      <c r="AY10" s="92"/>
      <c r="AZ10" s="93">
        <f t="shared" ref="AZ10:AZ73" si="21">AY10*$E10</f>
        <v>0</v>
      </c>
      <c r="BA10" s="92"/>
      <c r="BB10" s="93">
        <f t="shared" ref="BB10:BB73" si="22">BA10*$E10</f>
        <v>0</v>
      </c>
      <c r="BC10" s="92"/>
      <c r="BD10" s="93">
        <f t="shared" ref="BD10:BD73" si="23">BC10*$E10</f>
        <v>0</v>
      </c>
      <c r="BE10" s="92"/>
      <c r="BF10" s="93">
        <f t="shared" ref="BF10:BF73" si="24">BE10*$E10</f>
        <v>0</v>
      </c>
      <c r="BG10" s="92"/>
      <c r="BH10" s="93">
        <f t="shared" ref="BH10:BJ73" si="25">BG10*$E10</f>
        <v>0</v>
      </c>
      <c r="BI10" s="92"/>
      <c r="BJ10" s="93">
        <f t="shared" si="25"/>
        <v>0</v>
      </c>
    </row>
    <row r="11" spans="1:62" s="24" customFormat="1" ht="12" x14ac:dyDescent="0.25">
      <c r="A11" s="237" t="s">
        <v>408</v>
      </c>
      <c r="B11" s="280" t="s">
        <v>409</v>
      </c>
      <c r="C11" s="76">
        <v>75000</v>
      </c>
      <c r="D11" s="77" t="s">
        <v>858</v>
      </c>
      <c r="E11" s="246">
        <v>0.06</v>
      </c>
      <c r="F11" s="78">
        <f t="shared" si="0"/>
        <v>4500</v>
      </c>
      <c r="G11" s="79">
        <f t="shared" si="1"/>
        <v>0</v>
      </c>
      <c r="H11" s="79">
        <f t="shared" si="2"/>
        <v>0</v>
      </c>
      <c r="I11" s="22"/>
      <c r="J11" s="80">
        <f>C11-(O11+Q11+S11+U11+W11+Y11+AA11+AC11+AE11+AG11+AI11+AK11+AM11+AO11+AQ11+AS11+AU11+AW11+AY11+BA11+BC11+BE11+BG11+BI11)</f>
        <v>75000</v>
      </c>
      <c r="K11" s="81">
        <f t="shared" si="3"/>
        <v>4500</v>
      </c>
      <c r="L11" s="82">
        <f t="shared" si="4"/>
        <v>0</v>
      </c>
      <c r="M11" s="82">
        <f t="shared" si="5"/>
        <v>0</v>
      </c>
      <c r="O11" s="94"/>
      <c r="P11" s="84">
        <f>O11*E11</f>
        <v>0</v>
      </c>
      <c r="Q11" s="94"/>
      <c r="R11" s="84">
        <f t="shared" si="6"/>
        <v>0</v>
      </c>
      <c r="S11" s="94"/>
      <c r="T11" s="84">
        <f t="shared" si="7"/>
        <v>0</v>
      </c>
      <c r="U11" s="94"/>
      <c r="V11" s="84">
        <f t="shared" si="8"/>
        <v>0</v>
      </c>
      <c r="W11" s="94"/>
      <c r="X11" s="84">
        <f t="shared" si="9"/>
        <v>0</v>
      </c>
      <c r="Y11" s="94"/>
      <c r="Z11" s="84">
        <f t="shared" si="10"/>
        <v>0</v>
      </c>
      <c r="AA11" s="94"/>
      <c r="AB11" s="84">
        <f t="shared" si="11"/>
        <v>0</v>
      </c>
      <c r="AC11" s="94"/>
      <c r="AD11" s="84">
        <f t="shared" si="12"/>
        <v>0</v>
      </c>
      <c r="AE11" s="94"/>
      <c r="AF11" s="84">
        <f t="shared" si="13"/>
        <v>0</v>
      </c>
      <c r="AG11" s="94"/>
      <c r="AH11" s="84">
        <f t="shared" si="14"/>
        <v>0</v>
      </c>
      <c r="AI11" s="94"/>
      <c r="AJ11" s="84">
        <f t="shared" si="15"/>
        <v>0</v>
      </c>
      <c r="AK11" s="94"/>
      <c r="AL11" s="84">
        <f t="shared" si="15"/>
        <v>0</v>
      </c>
      <c r="AM11" s="94"/>
      <c r="AN11" s="84">
        <f>AM11*AC11</f>
        <v>0</v>
      </c>
      <c r="AO11" s="94"/>
      <c r="AP11" s="84">
        <f t="shared" si="16"/>
        <v>0</v>
      </c>
      <c r="AQ11" s="94"/>
      <c r="AR11" s="84">
        <f t="shared" si="17"/>
        <v>0</v>
      </c>
      <c r="AS11" s="94"/>
      <c r="AT11" s="84">
        <f t="shared" si="18"/>
        <v>0</v>
      </c>
      <c r="AU11" s="94"/>
      <c r="AV11" s="84">
        <f t="shared" si="19"/>
        <v>0</v>
      </c>
      <c r="AW11" s="94"/>
      <c r="AX11" s="84">
        <f t="shared" si="20"/>
        <v>0</v>
      </c>
      <c r="AY11" s="94"/>
      <c r="AZ11" s="84">
        <f t="shared" si="21"/>
        <v>0</v>
      </c>
      <c r="BA11" s="94"/>
      <c r="BB11" s="84">
        <f t="shared" si="22"/>
        <v>0</v>
      </c>
      <c r="BC11" s="94"/>
      <c r="BD11" s="84">
        <f t="shared" si="23"/>
        <v>0</v>
      </c>
      <c r="BE11" s="94"/>
      <c r="BF11" s="84">
        <f t="shared" si="24"/>
        <v>0</v>
      </c>
      <c r="BG11" s="94"/>
      <c r="BH11" s="84">
        <f t="shared" si="25"/>
        <v>0</v>
      </c>
      <c r="BI11" s="94"/>
      <c r="BJ11" s="84">
        <f t="shared" si="25"/>
        <v>0</v>
      </c>
    </row>
    <row r="12" spans="1:62" s="24" customFormat="1" ht="12" x14ac:dyDescent="0.25">
      <c r="A12" s="238" t="s">
        <v>859</v>
      </c>
      <c r="B12" s="281" t="s">
        <v>860</v>
      </c>
      <c r="C12" s="85">
        <v>220000</v>
      </c>
      <c r="D12" s="86" t="s">
        <v>858</v>
      </c>
      <c r="E12" s="247">
        <v>0.02</v>
      </c>
      <c r="F12" s="87">
        <f t="shared" si="0"/>
        <v>4400</v>
      </c>
      <c r="G12" s="88">
        <f t="shared" si="1"/>
        <v>0</v>
      </c>
      <c r="H12" s="88">
        <f t="shared" si="2"/>
        <v>0</v>
      </c>
      <c r="I12" s="22"/>
      <c r="J12" s="89">
        <f>C12-(O12+Q12+S12+U12+W12+Y12+AA12+AC12+AE12+AG12+AI12+AK12+AM12+AO12+AQ12+AS12+AU12+AW12+AY12+BA12+BC12+BE12+BG12+BI12)</f>
        <v>220000</v>
      </c>
      <c r="K12" s="90">
        <f t="shared" si="3"/>
        <v>4400</v>
      </c>
      <c r="L12" s="91">
        <f t="shared" si="4"/>
        <v>0</v>
      </c>
      <c r="M12" s="91">
        <f t="shared" si="5"/>
        <v>0</v>
      </c>
      <c r="O12" s="92"/>
      <c r="P12" s="93">
        <f>O12*E12</f>
        <v>0</v>
      </c>
      <c r="Q12" s="92"/>
      <c r="R12" s="93">
        <f t="shared" si="6"/>
        <v>0</v>
      </c>
      <c r="S12" s="92"/>
      <c r="T12" s="93">
        <f t="shared" si="7"/>
        <v>0</v>
      </c>
      <c r="U12" s="92"/>
      <c r="V12" s="93">
        <f t="shared" si="8"/>
        <v>0</v>
      </c>
      <c r="W12" s="92"/>
      <c r="X12" s="93">
        <f t="shared" si="9"/>
        <v>0</v>
      </c>
      <c r="Y12" s="92"/>
      <c r="Z12" s="93">
        <f t="shared" si="10"/>
        <v>0</v>
      </c>
      <c r="AA12" s="92"/>
      <c r="AB12" s="93">
        <f t="shared" si="11"/>
        <v>0</v>
      </c>
      <c r="AC12" s="92"/>
      <c r="AD12" s="93">
        <f t="shared" si="12"/>
        <v>0</v>
      </c>
      <c r="AE12" s="92"/>
      <c r="AF12" s="93">
        <f t="shared" si="13"/>
        <v>0</v>
      </c>
      <c r="AG12" s="92"/>
      <c r="AH12" s="93">
        <f t="shared" si="14"/>
        <v>0</v>
      </c>
      <c r="AI12" s="92"/>
      <c r="AJ12" s="93">
        <f t="shared" si="15"/>
        <v>0</v>
      </c>
      <c r="AK12" s="92"/>
      <c r="AL12" s="93">
        <f t="shared" si="15"/>
        <v>0</v>
      </c>
      <c r="AM12" s="92"/>
      <c r="AN12" s="93">
        <f>AM12*AC12</f>
        <v>0</v>
      </c>
      <c r="AO12" s="92"/>
      <c r="AP12" s="93">
        <f t="shared" si="16"/>
        <v>0</v>
      </c>
      <c r="AQ12" s="92"/>
      <c r="AR12" s="93">
        <f t="shared" si="17"/>
        <v>0</v>
      </c>
      <c r="AS12" s="92"/>
      <c r="AT12" s="93">
        <f t="shared" si="18"/>
        <v>0</v>
      </c>
      <c r="AU12" s="92"/>
      <c r="AV12" s="93">
        <f t="shared" si="19"/>
        <v>0</v>
      </c>
      <c r="AW12" s="92"/>
      <c r="AX12" s="93">
        <f t="shared" si="20"/>
        <v>0</v>
      </c>
      <c r="AY12" s="92"/>
      <c r="AZ12" s="93">
        <f t="shared" si="21"/>
        <v>0</v>
      </c>
      <c r="BA12" s="92"/>
      <c r="BB12" s="93">
        <f t="shared" si="22"/>
        <v>0</v>
      </c>
      <c r="BC12" s="92"/>
      <c r="BD12" s="93">
        <f t="shared" si="23"/>
        <v>0</v>
      </c>
      <c r="BE12" s="92"/>
      <c r="BF12" s="93">
        <f t="shared" si="24"/>
        <v>0</v>
      </c>
      <c r="BG12" s="92"/>
      <c r="BH12" s="93">
        <f t="shared" si="25"/>
        <v>0</v>
      </c>
      <c r="BI12" s="92"/>
      <c r="BJ12" s="93">
        <f t="shared" si="25"/>
        <v>0</v>
      </c>
    </row>
    <row r="13" spans="1:62" s="24" customFormat="1" ht="12" x14ac:dyDescent="0.25">
      <c r="A13" s="237" t="s">
        <v>410</v>
      </c>
      <c r="B13" s="280" t="s">
        <v>411</v>
      </c>
      <c r="C13" s="76">
        <v>10000</v>
      </c>
      <c r="D13" s="77" t="s">
        <v>858</v>
      </c>
      <c r="E13" s="246">
        <v>0.01</v>
      </c>
      <c r="F13" s="78">
        <f t="shared" si="0"/>
        <v>100</v>
      </c>
      <c r="G13" s="79">
        <f t="shared" si="1"/>
        <v>0</v>
      </c>
      <c r="H13" s="79">
        <f t="shared" si="2"/>
        <v>0</v>
      </c>
      <c r="I13" s="22"/>
      <c r="J13" s="80">
        <f>C13-(O13+Q13+S13+U13+W13+Y13+AA13+AC13+AE13+AG13+AI13+AK13+AM13+AO13+AQ13+AS13+AU13+AW13+AY13+BA13+BC13+BE13+BG13+BI13)</f>
        <v>10000</v>
      </c>
      <c r="K13" s="81">
        <f t="shared" si="3"/>
        <v>100</v>
      </c>
      <c r="L13" s="82">
        <f t="shared" si="4"/>
        <v>0</v>
      </c>
      <c r="M13" s="82">
        <f t="shared" si="5"/>
        <v>0</v>
      </c>
      <c r="O13" s="94"/>
      <c r="P13" s="84">
        <f>O13*E13</f>
        <v>0</v>
      </c>
      <c r="Q13" s="94"/>
      <c r="R13" s="84">
        <f t="shared" si="6"/>
        <v>0</v>
      </c>
      <c r="S13" s="94"/>
      <c r="T13" s="84">
        <f t="shared" si="7"/>
        <v>0</v>
      </c>
      <c r="U13" s="94"/>
      <c r="V13" s="84">
        <f t="shared" si="8"/>
        <v>0</v>
      </c>
      <c r="W13" s="94"/>
      <c r="X13" s="84">
        <f t="shared" si="9"/>
        <v>0</v>
      </c>
      <c r="Y13" s="94"/>
      <c r="Z13" s="84">
        <f t="shared" si="10"/>
        <v>0</v>
      </c>
      <c r="AA13" s="94"/>
      <c r="AB13" s="84">
        <f t="shared" si="11"/>
        <v>0</v>
      </c>
      <c r="AC13" s="94"/>
      <c r="AD13" s="84">
        <f t="shared" si="12"/>
        <v>0</v>
      </c>
      <c r="AE13" s="94"/>
      <c r="AF13" s="84">
        <f t="shared" si="13"/>
        <v>0</v>
      </c>
      <c r="AG13" s="94"/>
      <c r="AH13" s="84">
        <f t="shared" si="14"/>
        <v>0</v>
      </c>
      <c r="AI13" s="94"/>
      <c r="AJ13" s="84">
        <f t="shared" si="15"/>
        <v>0</v>
      </c>
      <c r="AK13" s="94"/>
      <c r="AL13" s="84">
        <f t="shared" si="15"/>
        <v>0</v>
      </c>
      <c r="AM13" s="94"/>
      <c r="AN13" s="84">
        <f>AM13*AC13</f>
        <v>0</v>
      </c>
      <c r="AO13" s="94"/>
      <c r="AP13" s="84">
        <f t="shared" si="16"/>
        <v>0</v>
      </c>
      <c r="AQ13" s="94"/>
      <c r="AR13" s="84">
        <f t="shared" si="17"/>
        <v>0</v>
      </c>
      <c r="AS13" s="94"/>
      <c r="AT13" s="84">
        <f t="shared" si="18"/>
        <v>0</v>
      </c>
      <c r="AU13" s="94"/>
      <c r="AV13" s="84">
        <f t="shared" si="19"/>
        <v>0</v>
      </c>
      <c r="AW13" s="94"/>
      <c r="AX13" s="84">
        <f t="shared" si="20"/>
        <v>0</v>
      </c>
      <c r="AY13" s="94"/>
      <c r="AZ13" s="84">
        <f t="shared" si="21"/>
        <v>0</v>
      </c>
      <c r="BA13" s="94"/>
      <c r="BB13" s="84">
        <f t="shared" si="22"/>
        <v>0</v>
      </c>
      <c r="BC13" s="94"/>
      <c r="BD13" s="84">
        <f t="shared" si="23"/>
        <v>0</v>
      </c>
      <c r="BE13" s="94"/>
      <c r="BF13" s="84">
        <f t="shared" si="24"/>
        <v>0</v>
      </c>
      <c r="BG13" s="94"/>
      <c r="BH13" s="84">
        <f t="shared" si="25"/>
        <v>0</v>
      </c>
      <c r="BI13" s="94"/>
      <c r="BJ13" s="84">
        <f t="shared" si="25"/>
        <v>0</v>
      </c>
    </row>
    <row r="14" spans="1:62" s="24" customFormat="1" ht="12" x14ac:dyDescent="0.25">
      <c r="A14" s="236"/>
      <c r="B14" s="306"/>
      <c r="C14" s="67"/>
      <c r="D14" s="67"/>
      <c r="E14" s="248"/>
      <c r="F14" s="68"/>
      <c r="G14" s="69"/>
      <c r="H14" s="69"/>
      <c r="I14" s="22"/>
      <c r="J14" s="95"/>
      <c r="K14" s="96"/>
      <c r="L14" s="97"/>
      <c r="M14" s="97"/>
      <c r="O14" s="98"/>
      <c r="P14" s="99"/>
      <c r="Q14" s="98"/>
      <c r="R14" s="99"/>
      <c r="S14" s="98"/>
      <c r="T14" s="99"/>
      <c r="U14" s="98"/>
      <c r="V14" s="99"/>
      <c r="W14" s="98"/>
      <c r="X14" s="99"/>
      <c r="Y14" s="98"/>
      <c r="Z14" s="99"/>
      <c r="AA14" s="98"/>
      <c r="AB14" s="99"/>
      <c r="AC14" s="98"/>
      <c r="AD14" s="99"/>
      <c r="AE14" s="98"/>
      <c r="AF14" s="99"/>
      <c r="AG14" s="98"/>
      <c r="AH14" s="99"/>
      <c r="AI14" s="98"/>
      <c r="AJ14" s="99"/>
      <c r="AK14" s="98"/>
      <c r="AL14" s="99"/>
      <c r="AM14" s="98"/>
      <c r="AN14" s="99"/>
      <c r="AO14" s="98"/>
      <c r="AP14" s="99"/>
      <c r="AQ14" s="98"/>
      <c r="AR14" s="99"/>
      <c r="AS14" s="98"/>
      <c r="AT14" s="99"/>
      <c r="AU14" s="98"/>
      <c r="AV14" s="99"/>
      <c r="AW14" s="98"/>
      <c r="AX14" s="99"/>
      <c r="AY14" s="98"/>
      <c r="AZ14" s="99"/>
      <c r="BA14" s="98"/>
      <c r="BB14" s="99"/>
      <c r="BC14" s="98"/>
      <c r="BD14" s="99"/>
      <c r="BE14" s="98"/>
      <c r="BF14" s="99"/>
      <c r="BG14" s="98"/>
      <c r="BH14" s="99"/>
      <c r="BI14" s="98"/>
      <c r="BJ14" s="99"/>
    </row>
    <row r="15" spans="1:62" s="24" customFormat="1" ht="12" x14ac:dyDescent="0.25">
      <c r="A15" s="237" t="s">
        <v>412</v>
      </c>
      <c r="B15" s="280" t="s">
        <v>413</v>
      </c>
      <c r="C15" s="76">
        <v>1000</v>
      </c>
      <c r="D15" s="77" t="s">
        <v>858</v>
      </c>
      <c r="E15" s="246">
        <v>0.39</v>
      </c>
      <c r="F15" s="78">
        <f t="shared" si="0"/>
        <v>390</v>
      </c>
      <c r="G15" s="79">
        <f t="shared" si="1"/>
        <v>0</v>
      </c>
      <c r="H15" s="79">
        <f t="shared" si="2"/>
        <v>0</v>
      </c>
      <c r="I15" s="22"/>
      <c r="J15" s="80">
        <f>C15-(O15+Q15+S15+U15+W15+Y15+AA15+AC15+AE15+AG15+AI15+AK15+AM15+AO15+AQ15+AS15+AU15+AW15+AY15+BA15+BC15+BE15+BG15+BI15)</f>
        <v>1000</v>
      </c>
      <c r="K15" s="81">
        <f t="shared" si="3"/>
        <v>390</v>
      </c>
      <c r="L15" s="82">
        <f t="shared" si="4"/>
        <v>0</v>
      </c>
      <c r="M15" s="82">
        <f>J15*H15</f>
        <v>0</v>
      </c>
      <c r="O15" s="94"/>
      <c r="P15" s="84">
        <f>O15*E15</f>
        <v>0</v>
      </c>
      <c r="Q15" s="94"/>
      <c r="R15" s="84">
        <f t="shared" si="6"/>
        <v>0</v>
      </c>
      <c r="S15" s="94"/>
      <c r="T15" s="84">
        <f t="shared" si="7"/>
        <v>0</v>
      </c>
      <c r="U15" s="94"/>
      <c r="V15" s="84">
        <f t="shared" si="8"/>
        <v>0</v>
      </c>
      <c r="W15" s="94"/>
      <c r="X15" s="84">
        <f t="shared" si="9"/>
        <v>0</v>
      </c>
      <c r="Y15" s="94"/>
      <c r="Z15" s="84">
        <f t="shared" si="10"/>
        <v>0</v>
      </c>
      <c r="AA15" s="94"/>
      <c r="AB15" s="84">
        <f t="shared" si="11"/>
        <v>0</v>
      </c>
      <c r="AC15" s="94"/>
      <c r="AD15" s="84">
        <f t="shared" si="12"/>
        <v>0</v>
      </c>
      <c r="AE15" s="94"/>
      <c r="AF15" s="84">
        <f t="shared" si="13"/>
        <v>0</v>
      </c>
      <c r="AG15" s="94"/>
      <c r="AH15" s="84">
        <f t="shared" si="14"/>
        <v>0</v>
      </c>
      <c r="AI15" s="94"/>
      <c r="AJ15" s="84">
        <f t="shared" si="15"/>
        <v>0</v>
      </c>
      <c r="AK15" s="94"/>
      <c r="AL15" s="84">
        <f t="shared" si="15"/>
        <v>0</v>
      </c>
      <c r="AM15" s="94"/>
      <c r="AN15" s="84">
        <f>AM15*AC15</f>
        <v>0</v>
      </c>
      <c r="AO15" s="94"/>
      <c r="AP15" s="84">
        <f t="shared" si="16"/>
        <v>0</v>
      </c>
      <c r="AQ15" s="94"/>
      <c r="AR15" s="84">
        <f t="shared" si="17"/>
        <v>0</v>
      </c>
      <c r="AS15" s="94"/>
      <c r="AT15" s="84">
        <f t="shared" si="18"/>
        <v>0</v>
      </c>
      <c r="AU15" s="94"/>
      <c r="AV15" s="84">
        <f t="shared" si="19"/>
        <v>0</v>
      </c>
      <c r="AW15" s="94"/>
      <c r="AX15" s="84">
        <f t="shared" si="20"/>
        <v>0</v>
      </c>
      <c r="AY15" s="94"/>
      <c r="AZ15" s="84">
        <f t="shared" si="21"/>
        <v>0</v>
      </c>
      <c r="BA15" s="94"/>
      <c r="BB15" s="84">
        <f t="shared" si="22"/>
        <v>0</v>
      </c>
      <c r="BC15" s="94"/>
      <c r="BD15" s="84">
        <f t="shared" si="23"/>
        <v>0</v>
      </c>
      <c r="BE15" s="94"/>
      <c r="BF15" s="84">
        <f t="shared" si="24"/>
        <v>0</v>
      </c>
      <c r="BG15" s="94"/>
      <c r="BH15" s="84">
        <f t="shared" si="25"/>
        <v>0</v>
      </c>
      <c r="BI15" s="94"/>
      <c r="BJ15" s="84">
        <f t="shared" si="25"/>
        <v>0</v>
      </c>
    </row>
    <row r="16" spans="1:62" s="24" customFormat="1" ht="12" x14ac:dyDescent="0.25">
      <c r="A16" s="238" t="s">
        <v>419</v>
      </c>
      <c r="B16" s="281" t="s">
        <v>420</v>
      </c>
      <c r="C16" s="85">
        <v>1000</v>
      </c>
      <c r="D16" s="86" t="s">
        <v>858</v>
      </c>
      <c r="E16" s="247">
        <v>0.28999999999999998</v>
      </c>
      <c r="F16" s="87">
        <f t="shared" si="0"/>
        <v>290</v>
      </c>
      <c r="G16" s="88">
        <f t="shared" si="1"/>
        <v>0</v>
      </c>
      <c r="H16" s="88">
        <f t="shared" si="2"/>
        <v>0</v>
      </c>
      <c r="I16" s="22"/>
      <c r="J16" s="89">
        <f>C16-(O16+Q16+S16+U16+W16+Y16+AA16+AC16+AE16+AG16+AI16+AK16+AM16+AO16+AQ16+AS16+AU16+AW16+AY16+BA16+BC16+BE16+BG16+BI16)</f>
        <v>1000</v>
      </c>
      <c r="K16" s="90">
        <f t="shared" si="3"/>
        <v>290</v>
      </c>
      <c r="L16" s="91">
        <f t="shared" si="4"/>
        <v>0</v>
      </c>
      <c r="M16" s="91">
        <f t="shared" ref="M16:M18" si="26">J16*H16</f>
        <v>0</v>
      </c>
      <c r="O16" s="92"/>
      <c r="P16" s="93">
        <f>O16*E16</f>
        <v>0</v>
      </c>
      <c r="Q16" s="92"/>
      <c r="R16" s="93">
        <f t="shared" si="6"/>
        <v>0</v>
      </c>
      <c r="S16" s="92"/>
      <c r="T16" s="93">
        <f t="shared" si="7"/>
        <v>0</v>
      </c>
      <c r="U16" s="92"/>
      <c r="V16" s="93">
        <f t="shared" si="8"/>
        <v>0</v>
      </c>
      <c r="W16" s="92"/>
      <c r="X16" s="93">
        <f t="shared" si="9"/>
        <v>0</v>
      </c>
      <c r="Y16" s="92"/>
      <c r="Z16" s="93">
        <f t="shared" si="10"/>
        <v>0</v>
      </c>
      <c r="AA16" s="92"/>
      <c r="AB16" s="93">
        <f t="shared" si="11"/>
        <v>0</v>
      </c>
      <c r="AC16" s="92"/>
      <c r="AD16" s="93">
        <f t="shared" si="12"/>
        <v>0</v>
      </c>
      <c r="AE16" s="92"/>
      <c r="AF16" s="93">
        <f t="shared" si="13"/>
        <v>0</v>
      </c>
      <c r="AG16" s="92"/>
      <c r="AH16" s="93">
        <f t="shared" si="14"/>
        <v>0</v>
      </c>
      <c r="AI16" s="92"/>
      <c r="AJ16" s="93">
        <f t="shared" si="15"/>
        <v>0</v>
      </c>
      <c r="AK16" s="92"/>
      <c r="AL16" s="93">
        <f t="shared" si="15"/>
        <v>0</v>
      </c>
      <c r="AM16" s="92"/>
      <c r="AN16" s="93">
        <f>AM16*AC16</f>
        <v>0</v>
      </c>
      <c r="AO16" s="92"/>
      <c r="AP16" s="93">
        <f t="shared" si="16"/>
        <v>0</v>
      </c>
      <c r="AQ16" s="92"/>
      <c r="AR16" s="93">
        <f t="shared" si="17"/>
        <v>0</v>
      </c>
      <c r="AS16" s="92"/>
      <c r="AT16" s="93">
        <f t="shared" si="18"/>
        <v>0</v>
      </c>
      <c r="AU16" s="92"/>
      <c r="AV16" s="93">
        <f t="shared" si="19"/>
        <v>0</v>
      </c>
      <c r="AW16" s="92"/>
      <c r="AX16" s="93">
        <f t="shared" si="20"/>
        <v>0</v>
      </c>
      <c r="AY16" s="92"/>
      <c r="AZ16" s="93">
        <f t="shared" si="21"/>
        <v>0</v>
      </c>
      <c r="BA16" s="92"/>
      <c r="BB16" s="93">
        <f t="shared" si="22"/>
        <v>0</v>
      </c>
      <c r="BC16" s="92"/>
      <c r="BD16" s="93">
        <f t="shared" si="23"/>
        <v>0</v>
      </c>
      <c r="BE16" s="92"/>
      <c r="BF16" s="93">
        <f t="shared" si="24"/>
        <v>0</v>
      </c>
      <c r="BG16" s="92"/>
      <c r="BH16" s="93">
        <f t="shared" si="25"/>
        <v>0</v>
      </c>
      <c r="BI16" s="92"/>
      <c r="BJ16" s="93">
        <f t="shared" si="25"/>
        <v>0</v>
      </c>
    </row>
    <row r="17" spans="1:62" s="24" customFormat="1" ht="12" x14ac:dyDescent="0.25">
      <c r="A17" s="237" t="s">
        <v>421</v>
      </c>
      <c r="B17" s="280" t="s">
        <v>422</v>
      </c>
      <c r="C17" s="76">
        <v>1000</v>
      </c>
      <c r="D17" s="77" t="s">
        <v>858</v>
      </c>
      <c r="E17" s="246">
        <v>0.19</v>
      </c>
      <c r="F17" s="78">
        <f t="shared" si="0"/>
        <v>190</v>
      </c>
      <c r="G17" s="79">
        <f t="shared" si="1"/>
        <v>0</v>
      </c>
      <c r="H17" s="79">
        <f t="shared" si="2"/>
        <v>0</v>
      </c>
      <c r="I17" s="22"/>
      <c r="J17" s="80">
        <f>C17-(O17+Q17+S17+U17+W17+Y17+AA17+AC17+AE17+AG17+AI17+AK17+AM17+AO17+AQ17+AS17+AU17+AW17+AY17+BA17+BC17+BE17+BG17+BI17)</f>
        <v>1000</v>
      </c>
      <c r="K17" s="81">
        <f t="shared" si="3"/>
        <v>190</v>
      </c>
      <c r="L17" s="82">
        <f t="shared" si="4"/>
        <v>0</v>
      </c>
      <c r="M17" s="82">
        <f t="shared" si="26"/>
        <v>0</v>
      </c>
      <c r="O17" s="94"/>
      <c r="P17" s="84">
        <f>O17*E17</f>
        <v>0</v>
      </c>
      <c r="Q17" s="94"/>
      <c r="R17" s="84">
        <f t="shared" si="6"/>
        <v>0</v>
      </c>
      <c r="S17" s="94"/>
      <c r="T17" s="84">
        <f t="shared" si="7"/>
        <v>0</v>
      </c>
      <c r="U17" s="94"/>
      <c r="V17" s="84">
        <f t="shared" si="8"/>
        <v>0</v>
      </c>
      <c r="W17" s="94"/>
      <c r="X17" s="84">
        <f t="shared" si="9"/>
        <v>0</v>
      </c>
      <c r="Y17" s="94"/>
      <c r="Z17" s="84">
        <f t="shared" si="10"/>
        <v>0</v>
      </c>
      <c r="AA17" s="94"/>
      <c r="AB17" s="84">
        <f t="shared" si="11"/>
        <v>0</v>
      </c>
      <c r="AC17" s="94"/>
      <c r="AD17" s="84">
        <f t="shared" si="12"/>
        <v>0</v>
      </c>
      <c r="AE17" s="94"/>
      <c r="AF17" s="84">
        <f t="shared" si="13"/>
        <v>0</v>
      </c>
      <c r="AG17" s="94"/>
      <c r="AH17" s="84">
        <f t="shared" si="14"/>
        <v>0</v>
      </c>
      <c r="AI17" s="94"/>
      <c r="AJ17" s="84">
        <f t="shared" si="15"/>
        <v>0</v>
      </c>
      <c r="AK17" s="94"/>
      <c r="AL17" s="84">
        <f t="shared" si="15"/>
        <v>0</v>
      </c>
      <c r="AM17" s="94"/>
      <c r="AN17" s="84">
        <f>AM17*AC17</f>
        <v>0</v>
      </c>
      <c r="AO17" s="94"/>
      <c r="AP17" s="84">
        <f t="shared" si="16"/>
        <v>0</v>
      </c>
      <c r="AQ17" s="94"/>
      <c r="AR17" s="84">
        <f t="shared" si="17"/>
        <v>0</v>
      </c>
      <c r="AS17" s="94"/>
      <c r="AT17" s="84">
        <f t="shared" si="18"/>
        <v>0</v>
      </c>
      <c r="AU17" s="94"/>
      <c r="AV17" s="84">
        <f t="shared" si="19"/>
        <v>0</v>
      </c>
      <c r="AW17" s="94"/>
      <c r="AX17" s="84">
        <f t="shared" si="20"/>
        <v>0</v>
      </c>
      <c r="AY17" s="94"/>
      <c r="AZ17" s="84">
        <f t="shared" si="21"/>
        <v>0</v>
      </c>
      <c r="BA17" s="94"/>
      <c r="BB17" s="84">
        <f t="shared" si="22"/>
        <v>0</v>
      </c>
      <c r="BC17" s="94"/>
      <c r="BD17" s="84">
        <f t="shared" si="23"/>
        <v>0</v>
      </c>
      <c r="BE17" s="94"/>
      <c r="BF17" s="84">
        <f t="shared" si="24"/>
        <v>0</v>
      </c>
      <c r="BG17" s="94"/>
      <c r="BH17" s="84">
        <f t="shared" si="25"/>
        <v>0</v>
      </c>
      <c r="BI17" s="94"/>
      <c r="BJ17" s="84">
        <f t="shared" si="25"/>
        <v>0</v>
      </c>
    </row>
    <row r="18" spans="1:62" s="24" customFormat="1" ht="12" x14ac:dyDescent="0.25">
      <c r="A18" s="238" t="s">
        <v>423</v>
      </c>
      <c r="B18" s="281" t="s">
        <v>424</v>
      </c>
      <c r="C18" s="85">
        <v>1000</v>
      </c>
      <c r="D18" s="86" t="s">
        <v>858</v>
      </c>
      <c r="E18" s="247">
        <v>0.14000000000000001</v>
      </c>
      <c r="F18" s="87">
        <f t="shared" si="0"/>
        <v>140</v>
      </c>
      <c r="G18" s="88">
        <f t="shared" si="1"/>
        <v>0</v>
      </c>
      <c r="H18" s="88">
        <f t="shared" si="2"/>
        <v>0</v>
      </c>
      <c r="I18" s="22"/>
      <c r="J18" s="89">
        <f>C18-(O18+Q18+S18+U18+W18+Y18+AA18+AC18+AE18+AG18+AI18+AK18+AM18+AO18+AQ18+AS18+AU18+AW18+AY18+BA18+BC18+BE18+BG18+BI18)</f>
        <v>1000</v>
      </c>
      <c r="K18" s="90">
        <f t="shared" si="3"/>
        <v>140</v>
      </c>
      <c r="L18" s="91">
        <f t="shared" si="4"/>
        <v>0</v>
      </c>
      <c r="M18" s="91">
        <f t="shared" si="26"/>
        <v>0</v>
      </c>
      <c r="O18" s="92"/>
      <c r="P18" s="93">
        <f>O18*E18</f>
        <v>0</v>
      </c>
      <c r="Q18" s="92"/>
      <c r="R18" s="93">
        <f t="shared" si="6"/>
        <v>0</v>
      </c>
      <c r="S18" s="92"/>
      <c r="T18" s="93">
        <f t="shared" si="7"/>
        <v>0</v>
      </c>
      <c r="U18" s="92"/>
      <c r="V18" s="93">
        <f t="shared" si="8"/>
        <v>0</v>
      </c>
      <c r="W18" s="92"/>
      <c r="X18" s="93">
        <f t="shared" si="9"/>
        <v>0</v>
      </c>
      <c r="Y18" s="92"/>
      <c r="Z18" s="93">
        <f t="shared" si="10"/>
        <v>0</v>
      </c>
      <c r="AA18" s="92"/>
      <c r="AB18" s="93">
        <f t="shared" si="11"/>
        <v>0</v>
      </c>
      <c r="AC18" s="92"/>
      <c r="AD18" s="93">
        <f t="shared" si="12"/>
        <v>0</v>
      </c>
      <c r="AE18" s="92"/>
      <c r="AF18" s="93">
        <f t="shared" si="13"/>
        <v>0</v>
      </c>
      <c r="AG18" s="92"/>
      <c r="AH18" s="93">
        <f t="shared" si="14"/>
        <v>0</v>
      </c>
      <c r="AI18" s="92"/>
      <c r="AJ18" s="93">
        <f t="shared" si="15"/>
        <v>0</v>
      </c>
      <c r="AK18" s="92"/>
      <c r="AL18" s="93">
        <f t="shared" si="15"/>
        <v>0</v>
      </c>
      <c r="AM18" s="92"/>
      <c r="AN18" s="93">
        <f>AM18*AC18</f>
        <v>0</v>
      </c>
      <c r="AO18" s="92"/>
      <c r="AP18" s="93">
        <f t="shared" si="16"/>
        <v>0</v>
      </c>
      <c r="AQ18" s="92"/>
      <c r="AR18" s="93">
        <f t="shared" si="17"/>
        <v>0</v>
      </c>
      <c r="AS18" s="92"/>
      <c r="AT18" s="93">
        <f t="shared" si="18"/>
        <v>0</v>
      </c>
      <c r="AU18" s="92"/>
      <c r="AV18" s="93">
        <f t="shared" si="19"/>
        <v>0</v>
      </c>
      <c r="AW18" s="92"/>
      <c r="AX18" s="93">
        <f t="shared" si="20"/>
        <v>0</v>
      </c>
      <c r="AY18" s="92"/>
      <c r="AZ18" s="93">
        <f t="shared" si="21"/>
        <v>0</v>
      </c>
      <c r="BA18" s="92"/>
      <c r="BB18" s="93">
        <f t="shared" si="22"/>
        <v>0</v>
      </c>
      <c r="BC18" s="92"/>
      <c r="BD18" s="93">
        <f t="shared" si="23"/>
        <v>0</v>
      </c>
      <c r="BE18" s="92"/>
      <c r="BF18" s="93">
        <f t="shared" si="24"/>
        <v>0</v>
      </c>
      <c r="BG18" s="92"/>
      <c r="BH18" s="93">
        <f t="shared" si="25"/>
        <v>0</v>
      </c>
      <c r="BI18" s="92"/>
      <c r="BJ18" s="93">
        <f t="shared" si="25"/>
        <v>0</v>
      </c>
    </row>
    <row r="19" spans="1:62" s="24" customFormat="1" ht="12" x14ac:dyDescent="0.25">
      <c r="A19" s="236"/>
      <c r="B19" s="306"/>
      <c r="C19" s="67"/>
      <c r="D19" s="67"/>
      <c r="E19" s="248"/>
      <c r="F19" s="68"/>
      <c r="G19" s="69"/>
      <c r="H19" s="69"/>
      <c r="I19" s="22"/>
      <c r="J19" s="95"/>
      <c r="K19" s="96"/>
      <c r="L19" s="97"/>
      <c r="M19" s="97"/>
      <c r="O19" s="98"/>
      <c r="P19" s="99"/>
      <c r="Q19" s="98"/>
      <c r="R19" s="99"/>
      <c r="S19" s="98"/>
      <c r="T19" s="99"/>
      <c r="U19" s="98"/>
      <c r="V19" s="99"/>
      <c r="W19" s="98"/>
      <c r="X19" s="99"/>
      <c r="Y19" s="98"/>
      <c r="Z19" s="99"/>
      <c r="AA19" s="98"/>
      <c r="AB19" s="99"/>
      <c r="AC19" s="98"/>
      <c r="AD19" s="99"/>
      <c r="AE19" s="98"/>
      <c r="AF19" s="99"/>
      <c r="AG19" s="98"/>
      <c r="AH19" s="99"/>
      <c r="AI19" s="98"/>
      <c r="AJ19" s="99"/>
      <c r="AK19" s="98"/>
      <c r="AL19" s="99"/>
      <c r="AM19" s="98"/>
      <c r="AN19" s="99"/>
      <c r="AO19" s="98"/>
      <c r="AP19" s="99"/>
      <c r="AQ19" s="98"/>
      <c r="AR19" s="99"/>
      <c r="AS19" s="98"/>
      <c r="AT19" s="99"/>
      <c r="AU19" s="98"/>
      <c r="AV19" s="99"/>
      <c r="AW19" s="98"/>
      <c r="AX19" s="99"/>
      <c r="AY19" s="98"/>
      <c r="AZ19" s="99"/>
      <c r="BA19" s="98"/>
      <c r="BB19" s="99"/>
      <c r="BC19" s="98"/>
      <c r="BD19" s="99"/>
      <c r="BE19" s="98"/>
      <c r="BF19" s="99"/>
      <c r="BG19" s="98"/>
      <c r="BH19" s="99"/>
      <c r="BI19" s="98"/>
      <c r="BJ19" s="99"/>
    </row>
    <row r="20" spans="1:62" s="24" customFormat="1" ht="12" x14ac:dyDescent="0.25">
      <c r="A20" s="237" t="s">
        <v>425</v>
      </c>
      <c r="B20" s="280" t="s">
        <v>426</v>
      </c>
      <c r="C20" s="76">
        <v>1000</v>
      </c>
      <c r="D20" s="77" t="s">
        <v>858</v>
      </c>
      <c r="E20" s="246">
        <v>0.57999999999999996</v>
      </c>
      <c r="F20" s="78">
        <f t="shared" si="0"/>
        <v>580</v>
      </c>
      <c r="G20" s="79">
        <f t="shared" si="1"/>
        <v>0</v>
      </c>
      <c r="H20" s="79">
        <f t="shared" si="2"/>
        <v>0</v>
      </c>
      <c r="I20" s="22"/>
      <c r="J20" s="80">
        <f>C20-(O20+Q20+S20+U20+W20+Y20+AA20+AC20+AE20+AG20+AI20+AK20+AM20+AO20+AQ20+AS20+AU20+AW20+AY20+BA20+BC20+BE20+BG20+BI20)</f>
        <v>1000</v>
      </c>
      <c r="K20" s="81">
        <f t="shared" si="3"/>
        <v>580</v>
      </c>
      <c r="L20" s="82">
        <f t="shared" si="4"/>
        <v>0</v>
      </c>
      <c r="M20" s="82">
        <f>J20*H20</f>
        <v>0</v>
      </c>
      <c r="O20" s="94"/>
      <c r="P20" s="84">
        <f>O20*E20</f>
        <v>0</v>
      </c>
      <c r="Q20" s="94"/>
      <c r="R20" s="84">
        <f t="shared" si="6"/>
        <v>0</v>
      </c>
      <c r="S20" s="94"/>
      <c r="T20" s="84">
        <f t="shared" si="7"/>
        <v>0</v>
      </c>
      <c r="U20" s="94"/>
      <c r="V20" s="84">
        <f t="shared" si="8"/>
        <v>0</v>
      </c>
      <c r="W20" s="94"/>
      <c r="X20" s="84">
        <f t="shared" si="9"/>
        <v>0</v>
      </c>
      <c r="Y20" s="94"/>
      <c r="Z20" s="84">
        <f t="shared" si="10"/>
        <v>0</v>
      </c>
      <c r="AA20" s="94"/>
      <c r="AB20" s="84">
        <f t="shared" si="11"/>
        <v>0</v>
      </c>
      <c r="AC20" s="94"/>
      <c r="AD20" s="84">
        <f t="shared" si="12"/>
        <v>0</v>
      </c>
      <c r="AE20" s="94"/>
      <c r="AF20" s="84">
        <f t="shared" si="13"/>
        <v>0</v>
      </c>
      <c r="AG20" s="94"/>
      <c r="AH20" s="84">
        <f t="shared" si="14"/>
        <v>0</v>
      </c>
      <c r="AI20" s="94"/>
      <c r="AJ20" s="84">
        <f t="shared" si="15"/>
        <v>0</v>
      </c>
      <c r="AK20" s="94"/>
      <c r="AL20" s="84">
        <f t="shared" si="15"/>
        <v>0</v>
      </c>
      <c r="AM20" s="94"/>
      <c r="AN20" s="84">
        <f>AM20*AC20</f>
        <v>0</v>
      </c>
      <c r="AO20" s="94"/>
      <c r="AP20" s="84">
        <f t="shared" si="16"/>
        <v>0</v>
      </c>
      <c r="AQ20" s="94"/>
      <c r="AR20" s="84">
        <f t="shared" si="17"/>
        <v>0</v>
      </c>
      <c r="AS20" s="94"/>
      <c r="AT20" s="84">
        <f t="shared" si="18"/>
        <v>0</v>
      </c>
      <c r="AU20" s="94"/>
      <c r="AV20" s="84">
        <f t="shared" si="19"/>
        <v>0</v>
      </c>
      <c r="AW20" s="94"/>
      <c r="AX20" s="84">
        <f t="shared" si="20"/>
        <v>0</v>
      </c>
      <c r="AY20" s="94"/>
      <c r="AZ20" s="84">
        <f t="shared" si="21"/>
        <v>0</v>
      </c>
      <c r="BA20" s="94"/>
      <c r="BB20" s="84">
        <f t="shared" si="22"/>
        <v>0</v>
      </c>
      <c r="BC20" s="94"/>
      <c r="BD20" s="84">
        <f t="shared" si="23"/>
        <v>0</v>
      </c>
      <c r="BE20" s="94"/>
      <c r="BF20" s="84">
        <f t="shared" si="24"/>
        <v>0</v>
      </c>
      <c r="BG20" s="94"/>
      <c r="BH20" s="84">
        <f t="shared" si="25"/>
        <v>0</v>
      </c>
      <c r="BI20" s="94"/>
      <c r="BJ20" s="84">
        <f t="shared" si="25"/>
        <v>0</v>
      </c>
    </row>
    <row r="21" spans="1:62" s="24" customFormat="1" ht="12" x14ac:dyDescent="0.25">
      <c r="A21" s="238" t="s">
        <v>427</v>
      </c>
      <c r="B21" s="281" t="s">
        <v>428</v>
      </c>
      <c r="C21" s="85">
        <v>300</v>
      </c>
      <c r="D21" s="86" t="s">
        <v>858</v>
      </c>
      <c r="E21" s="247">
        <v>0.97</v>
      </c>
      <c r="F21" s="87">
        <f t="shared" si="0"/>
        <v>291</v>
      </c>
      <c r="G21" s="88">
        <f t="shared" si="1"/>
        <v>0</v>
      </c>
      <c r="H21" s="88">
        <f t="shared" si="2"/>
        <v>0</v>
      </c>
      <c r="I21" s="22"/>
      <c r="J21" s="89">
        <f>C21-(O21+Q21+S21+U21+W21+Y21+AA21+AC21+AE21+AG21+AI21+AK21+AM21+AO21+AQ21+AS21+AU21+AW21+AY21+BA21+BC21+BE21+BG21+BI21)</f>
        <v>300</v>
      </c>
      <c r="K21" s="90">
        <f t="shared" si="3"/>
        <v>291</v>
      </c>
      <c r="L21" s="91">
        <f t="shared" si="4"/>
        <v>0</v>
      </c>
      <c r="M21" s="91">
        <f t="shared" ref="M21:M84" si="27">J21*H21</f>
        <v>0</v>
      </c>
      <c r="O21" s="92"/>
      <c r="P21" s="93">
        <f>O21*E21</f>
        <v>0</v>
      </c>
      <c r="Q21" s="92"/>
      <c r="R21" s="93">
        <f t="shared" si="6"/>
        <v>0</v>
      </c>
      <c r="S21" s="92"/>
      <c r="T21" s="93">
        <f t="shared" si="7"/>
        <v>0</v>
      </c>
      <c r="U21" s="92"/>
      <c r="V21" s="93">
        <f t="shared" si="8"/>
        <v>0</v>
      </c>
      <c r="W21" s="92"/>
      <c r="X21" s="93">
        <f t="shared" si="9"/>
        <v>0</v>
      </c>
      <c r="Y21" s="92"/>
      <c r="Z21" s="93">
        <f t="shared" si="10"/>
        <v>0</v>
      </c>
      <c r="AA21" s="92"/>
      <c r="AB21" s="93">
        <f t="shared" si="11"/>
        <v>0</v>
      </c>
      <c r="AC21" s="92"/>
      <c r="AD21" s="93">
        <f t="shared" si="12"/>
        <v>0</v>
      </c>
      <c r="AE21" s="92"/>
      <c r="AF21" s="93">
        <f t="shared" si="13"/>
        <v>0</v>
      </c>
      <c r="AG21" s="92"/>
      <c r="AH21" s="93">
        <f t="shared" si="14"/>
        <v>0</v>
      </c>
      <c r="AI21" s="92"/>
      <c r="AJ21" s="93">
        <f t="shared" si="15"/>
        <v>0</v>
      </c>
      <c r="AK21" s="92"/>
      <c r="AL21" s="93">
        <f t="shared" si="15"/>
        <v>0</v>
      </c>
      <c r="AM21" s="92"/>
      <c r="AN21" s="93">
        <f>AM21*AC21</f>
        <v>0</v>
      </c>
      <c r="AO21" s="92"/>
      <c r="AP21" s="93">
        <f t="shared" si="16"/>
        <v>0</v>
      </c>
      <c r="AQ21" s="92"/>
      <c r="AR21" s="93">
        <f t="shared" si="17"/>
        <v>0</v>
      </c>
      <c r="AS21" s="92"/>
      <c r="AT21" s="93">
        <f t="shared" si="18"/>
        <v>0</v>
      </c>
      <c r="AU21" s="92"/>
      <c r="AV21" s="93">
        <f t="shared" si="19"/>
        <v>0</v>
      </c>
      <c r="AW21" s="92"/>
      <c r="AX21" s="93">
        <f t="shared" si="20"/>
        <v>0</v>
      </c>
      <c r="AY21" s="92"/>
      <c r="AZ21" s="93">
        <f t="shared" si="21"/>
        <v>0</v>
      </c>
      <c r="BA21" s="92"/>
      <c r="BB21" s="93">
        <f t="shared" si="22"/>
        <v>0</v>
      </c>
      <c r="BC21" s="92"/>
      <c r="BD21" s="93">
        <f t="shared" si="23"/>
        <v>0</v>
      </c>
      <c r="BE21" s="92"/>
      <c r="BF21" s="93">
        <f t="shared" si="24"/>
        <v>0</v>
      </c>
      <c r="BG21" s="92"/>
      <c r="BH21" s="93">
        <f t="shared" si="25"/>
        <v>0</v>
      </c>
      <c r="BI21" s="92"/>
      <c r="BJ21" s="93">
        <f t="shared" si="25"/>
        <v>0</v>
      </c>
    </row>
    <row r="22" spans="1:62" s="24" customFormat="1" ht="12" x14ac:dyDescent="0.25">
      <c r="A22" s="237" t="s">
        <v>429</v>
      </c>
      <c r="B22" s="280" t="s">
        <v>430</v>
      </c>
      <c r="C22" s="76">
        <v>150</v>
      </c>
      <c r="D22" s="77" t="s">
        <v>858</v>
      </c>
      <c r="E22" s="246">
        <v>1.45</v>
      </c>
      <c r="F22" s="78">
        <f t="shared" si="0"/>
        <v>217.5</v>
      </c>
      <c r="G22" s="79">
        <f t="shared" si="1"/>
        <v>0</v>
      </c>
      <c r="H22" s="79">
        <f t="shared" si="2"/>
        <v>0</v>
      </c>
      <c r="I22" s="22"/>
      <c r="J22" s="80">
        <f>C22-(O22+Q22+S22+U22+W22+Y22+AA22+AC22+AE22+AG22+AI22+AK22+AM22+AO22+AQ22+AS22+AU22+AW22+AY22+BA22+BC22+BE22+BG22+BI22)</f>
        <v>150</v>
      </c>
      <c r="K22" s="81">
        <f t="shared" si="3"/>
        <v>217.5</v>
      </c>
      <c r="L22" s="82">
        <f t="shared" si="4"/>
        <v>0</v>
      </c>
      <c r="M22" s="82">
        <f t="shared" si="27"/>
        <v>0</v>
      </c>
      <c r="O22" s="94"/>
      <c r="P22" s="84">
        <f>O22*E22</f>
        <v>0</v>
      </c>
      <c r="Q22" s="94"/>
      <c r="R22" s="84">
        <f t="shared" si="6"/>
        <v>0</v>
      </c>
      <c r="S22" s="94"/>
      <c r="T22" s="84">
        <f t="shared" si="7"/>
        <v>0</v>
      </c>
      <c r="U22" s="94"/>
      <c r="V22" s="84">
        <f t="shared" si="8"/>
        <v>0</v>
      </c>
      <c r="W22" s="94"/>
      <c r="X22" s="84">
        <f t="shared" si="9"/>
        <v>0</v>
      </c>
      <c r="Y22" s="94"/>
      <c r="Z22" s="84">
        <f t="shared" si="10"/>
        <v>0</v>
      </c>
      <c r="AA22" s="94"/>
      <c r="AB22" s="84">
        <f t="shared" si="11"/>
        <v>0</v>
      </c>
      <c r="AC22" s="94"/>
      <c r="AD22" s="84">
        <f t="shared" si="12"/>
        <v>0</v>
      </c>
      <c r="AE22" s="94"/>
      <c r="AF22" s="84">
        <f t="shared" si="13"/>
        <v>0</v>
      </c>
      <c r="AG22" s="94"/>
      <c r="AH22" s="84">
        <f t="shared" si="14"/>
        <v>0</v>
      </c>
      <c r="AI22" s="94"/>
      <c r="AJ22" s="84">
        <f t="shared" si="15"/>
        <v>0</v>
      </c>
      <c r="AK22" s="94"/>
      <c r="AL22" s="84">
        <f t="shared" si="15"/>
        <v>0</v>
      </c>
      <c r="AM22" s="94"/>
      <c r="AN22" s="84">
        <f>AM22*AC22</f>
        <v>0</v>
      </c>
      <c r="AO22" s="94"/>
      <c r="AP22" s="84">
        <f t="shared" si="16"/>
        <v>0</v>
      </c>
      <c r="AQ22" s="94"/>
      <c r="AR22" s="84">
        <f t="shared" si="17"/>
        <v>0</v>
      </c>
      <c r="AS22" s="94"/>
      <c r="AT22" s="84">
        <f t="shared" si="18"/>
        <v>0</v>
      </c>
      <c r="AU22" s="94"/>
      <c r="AV22" s="84">
        <f t="shared" si="19"/>
        <v>0</v>
      </c>
      <c r="AW22" s="94"/>
      <c r="AX22" s="84">
        <f t="shared" si="20"/>
        <v>0</v>
      </c>
      <c r="AY22" s="94"/>
      <c r="AZ22" s="84">
        <f t="shared" si="21"/>
        <v>0</v>
      </c>
      <c r="BA22" s="94"/>
      <c r="BB22" s="84">
        <f t="shared" si="22"/>
        <v>0</v>
      </c>
      <c r="BC22" s="94"/>
      <c r="BD22" s="84">
        <f t="shared" si="23"/>
        <v>0</v>
      </c>
      <c r="BE22" s="94"/>
      <c r="BF22" s="84">
        <f t="shared" si="24"/>
        <v>0</v>
      </c>
      <c r="BG22" s="94"/>
      <c r="BH22" s="84">
        <f t="shared" si="25"/>
        <v>0</v>
      </c>
      <c r="BI22" s="94"/>
      <c r="BJ22" s="84">
        <f t="shared" si="25"/>
        <v>0</v>
      </c>
    </row>
    <row r="23" spans="1:62" s="24" customFormat="1" ht="12" x14ac:dyDescent="0.25">
      <c r="A23" s="238" t="s">
        <v>432</v>
      </c>
      <c r="B23" s="281" t="s">
        <v>433</v>
      </c>
      <c r="C23" s="85">
        <v>300</v>
      </c>
      <c r="D23" s="86" t="s">
        <v>858</v>
      </c>
      <c r="E23" s="247">
        <v>0.77</v>
      </c>
      <c r="F23" s="87">
        <f t="shared" si="0"/>
        <v>231</v>
      </c>
      <c r="G23" s="88">
        <f t="shared" si="1"/>
        <v>0</v>
      </c>
      <c r="H23" s="88">
        <f t="shared" si="2"/>
        <v>0</v>
      </c>
      <c r="I23" s="22"/>
      <c r="J23" s="89">
        <f>C23-(O23+Q23+S23+U23+W23+Y23+AA23+AC23+AE23+AG23+AI23+AK23+AM23+AO23+AQ23+AS23+AU23+AW23+AY23+BA23+BC23+BE23+BG23+BI23)</f>
        <v>300</v>
      </c>
      <c r="K23" s="90">
        <f t="shared" si="3"/>
        <v>231</v>
      </c>
      <c r="L23" s="91">
        <f t="shared" si="4"/>
        <v>0</v>
      </c>
      <c r="M23" s="91">
        <f t="shared" si="27"/>
        <v>0</v>
      </c>
      <c r="O23" s="92"/>
      <c r="P23" s="93">
        <f>O23*E23</f>
        <v>0</v>
      </c>
      <c r="Q23" s="92"/>
      <c r="R23" s="93">
        <f t="shared" si="6"/>
        <v>0</v>
      </c>
      <c r="S23" s="92"/>
      <c r="T23" s="93">
        <f t="shared" si="7"/>
        <v>0</v>
      </c>
      <c r="U23" s="92"/>
      <c r="V23" s="93">
        <f t="shared" si="8"/>
        <v>0</v>
      </c>
      <c r="W23" s="92"/>
      <c r="X23" s="93">
        <f t="shared" si="9"/>
        <v>0</v>
      </c>
      <c r="Y23" s="92"/>
      <c r="Z23" s="93">
        <f t="shared" si="10"/>
        <v>0</v>
      </c>
      <c r="AA23" s="92"/>
      <c r="AB23" s="93">
        <f t="shared" si="11"/>
        <v>0</v>
      </c>
      <c r="AC23" s="92"/>
      <c r="AD23" s="93">
        <f t="shared" si="12"/>
        <v>0</v>
      </c>
      <c r="AE23" s="92"/>
      <c r="AF23" s="93">
        <f t="shared" si="13"/>
        <v>0</v>
      </c>
      <c r="AG23" s="92"/>
      <c r="AH23" s="93">
        <f t="shared" si="14"/>
        <v>0</v>
      </c>
      <c r="AI23" s="92"/>
      <c r="AJ23" s="93">
        <f t="shared" si="15"/>
        <v>0</v>
      </c>
      <c r="AK23" s="92"/>
      <c r="AL23" s="93">
        <f t="shared" si="15"/>
        <v>0</v>
      </c>
      <c r="AM23" s="92"/>
      <c r="AN23" s="93">
        <f>AM23*AC23</f>
        <v>0</v>
      </c>
      <c r="AO23" s="92"/>
      <c r="AP23" s="93">
        <f t="shared" si="16"/>
        <v>0</v>
      </c>
      <c r="AQ23" s="92"/>
      <c r="AR23" s="93">
        <f t="shared" si="17"/>
        <v>0</v>
      </c>
      <c r="AS23" s="92"/>
      <c r="AT23" s="93">
        <f t="shared" si="18"/>
        <v>0</v>
      </c>
      <c r="AU23" s="92"/>
      <c r="AV23" s="93">
        <f t="shared" si="19"/>
        <v>0</v>
      </c>
      <c r="AW23" s="92"/>
      <c r="AX23" s="93">
        <f t="shared" si="20"/>
        <v>0</v>
      </c>
      <c r="AY23" s="92"/>
      <c r="AZ23" s="93">
        <f t="shared" si="21"/>
        <v>0</v>
      </c>
      <c r="BA23" s="92"/>
      <c r="BB23" s="93">
        <f t="shared" si="22"/>
        <v>0</v>
      </c>
      <c r="BC23" s="92"/>
      <c r="BD23" s="93">
        <f t="shared" si="23"/>
        <v>0</v>
      </c>
      <c r="BE23" s="92"/>
      <c r="BF23" s="93">
        <f t="shared" si="24"/>
        <v>0</v>
      </c>
      <c r="BG23" s="92"/>
      <c r="BH23" s="93">
        <f t="shared" si="25"/>
        <v>0</v>
      </c>
      <c r="BI23" s="92"/>
      <c r="BJ23" s="93">
        <f t="shared" si="25"/>
        <v>0</v>
      </c>
    </row>
    <row r="24" spans="1:62" s="24" customFormat="1" ht="12" x14ac:dyDescent="0.25">
      <c r="A24" s="236"/>
      <c r="B24" s="306"/>
      <c r="C24" s="67"/>
      <c r="D24" s="67"/>
      <c r="E24" s="248"/>
      <c r="F24" s="68"/>
      <c r="G24" s="69"/>
      <c r="H24" s="69"/>
      <c r="I24" s="22"/>
      <c r="J24" s="95"/>
      <c r="K24" s="96"/>
      <c r="L24" s="97"/>
      <c r="M24" s="97"/>
      <c r="O24" s="98"/>
      <c r="P24" s="99"/>
      <c r="Q24" s="98"/>
      <c r="R24" s="99"/>
      <c r="S24" s="98"/>
      <c r="T24" s="99"/>
      <c r="U24" s="98"/>
      <c r="V24" s="99"/>
      <c r="W24" s="98"/>
      <c r="X24" s="99"/>
      <c r="Y24" s="98"/>
      <c r="Z24" s="99"/>
      <c r="AA24" s="98"/>
      <c r="AB24" s="99"/>
      <c r="AC24" s="98"/>
      <c r="AD24" s="99"/>
      <c r="AE24" s="98"/>
      <c r="AF24" s="99"/>
      <c r="AG24" s="98"/>
      <c r="AH24" s="99"/>
      <c r="AI24" s="98"/>
      <c r="AJ24" s="99"/>
      <c r="AK24" s="98"/>
      <c r="AL24" s="99"/>
      <c r="AM24" s="98"/>
      <c r="AN24" s="99"/>
      <c r="AO24" s="98"/>
      <c r="AP24" s="99"/>
      <c r="AQ24" s="98"/>
      <c r="AR24" s="99"/>
      <c r="AS24" s="98"/>
      <c r="AT24" s="99"/>
      <c r="AU24" s="98"/>
      <c r="AV24" s="99"/>
      <c r="AW24" s="98"/>
      <c r="AX24" s="99"/>
      <c r="AY24" s="98"/>
      <c r="AZ24" s="99"/>
      <c r="BA24" s="98"/>
      <c r="BB24" s="99"/>
      <c r="BC24" s="98"/>
      <c r="BD24" s="99"/>
      <c r="BE24" s="98"/>
      <c r="BF24" s="99"/>
      <c r="BG24" s="98"/>
      <c r="BH24" s="99"/>
      <c r="BI24" s="98"/>
      <c r="BJ24" s="99"/>
    </row>
    <row r="25" spans="1:62" s="24" customFormat="1" ht="12" x14ac:dyDescent="0.25">
      <c r="A25" s="237" t="s">
        <v>861</v>
      </c>
      <c r="B25" s="280" t="s">
        <v>1156</v>
      </c>
      <c r="C25" s="76">
        <v>3000</v>
      </c>
      <c r="D25" s="77" t="s">
        <v>858</v>
      </c>
      <c r="E25" s="246">
        <v>0.23</v>
      </c>
      <c r="F25" s="78">
        <f t="shared" si="0"/>
        <v>690</v>
      </c>
      <c r="G25" s="79">
        <f t="shared" si="1"/>
        <v>0</v>
      </c>
      <c r="H25" s="79">
        <f t="shared" si="2"/>
        <v>0</v>
      </c>
      <c r="I25" s="22"/>
      <c r="J25" s="80">
        <f>C25-(O25+Q25+S25+U25+W25+Y25+AA25+AC25+AE25+AG25+AI25+AK25+AM25+AO25+AQ25+AS25+AU25+AW25+AY25+BA25+BC25+BE25+BG25+BI25)</f>
        <v>3000</v>
      </c>
      <c r="K25" s="81">
        <f t="shared" si="3"/>
        <v>690</v>
      </c>
      <c r="L25" s="82">
        <f t="shared" si="4"/>
        <v>0</v>
      </c>
      <c r="M25" s="82">
        <f t="shared" si="27"/>
        <v>0</v>
      </c>
      <c r="O25" s="94"/>
      <c r="P25" s="84">
        <f>O25*E25</f>
        <v>0</v>
      </c>
      <c r="Q25" s="94"/>
      <c r="R25" s="84">
        <f t="shared" si="6"/>
        <v>0</v>
      </c>
      <c r="S25" s="94"/>
      <c r="T25" s="84">
        <f t="shared" si="7"/>
        <v>0</v>
      </c>
      <c r="U25" s="94"/>
      <c r="V25" s="84">
        <f t="shared" si="8"/>
        <v>0</v>
      </c>
      <c r="W25" s="94"/>
      <c r="X25" s="84">
        <f t="shared" si="9"/>
        <v>0</v>
      </c>
      <c r="Y25" s="94"/>
      <c r="Z25" s="84">
        <f t="shared" si="10"/>
        <v>0</v>
      </c>
      <c r="AA25" s="94"/>
      <c r="AB25" s="84">
        <f t="shared" si="11"/>
        <v>0</v>
      </c>
      <c r="AC25" s="94"/>
      <c r="AD25" s="84">
        <f t="shared" si="12"/>
        <v>0</v>
      </c>
      <c r="AE25" s="94"/>
      <c r="AF25" s="84">
        <f t="shared" si="13"/>
        <v>0</v>
      </c>
      <c r="AG25" s="94"/>
      <c r="AH25" s="84">
        <f t="shared" si="14"/>
        <v>0</v>
      </c>
      <c r="AI25" s="94"/>
      <c r="AJ25" s="84">
        <f t="shared" si="15"/>
        <v>0</v>
      </c>
      <c r="AK25" s="94"/>
      <c r="AL25" s="84">
        <f t="shared" si="15"/>
        <v>0</v>
      </c>
      <c r="AM25" s="94"/>
      <c r="AN25" s="84">
        <f>AM25*AC25</f>
        <v>0</v>
      </c>
      <c r="AO25" s="94"/>
      <c r="AP25" s="84">
        <f t="shared" si="16"/>
        <v>0</v>
      </c>
      <c r="AQ25" s="94"/>
      <c r="AR25" s="84">
        <f t="shared" si="17"/>
        <v>0</v>
      </c>
      <c r="AS25" s="94"/>
      <c r="AT25" s="84">
        <f t="shared" si="18"/>
        <v>0</v>
      </c>
      <c r="AU25" s="94"/>
      <c r="AV25" s="84">
        <f t="shared" si="19"/>
        <v>0</v>
      </c>
      <c r="AW25" s="94"/>
      <c r="AX25" s="84">
        <f t="shared" si="20"/>
        <v>0</v>
      </c>
      <c r="AY25" s="94"/>
      <c r="AZ25" s="84">
        <f t="shared" si="21"/>
        <v>0</v>
      </c>
      <c r="BA25" s="94"/>
      <c r="BB25" s="84">
        <f t="shared" si="22"/>
        <v>0</v>
      </c>
      <c r="BC25" s="94"/>
      <c r="BD25" s="84">
        <f t="shared" si="23"/>
        <v>0</v>
      </c>
      <c r="BE25" s="94"/>
      <c r="BF25" s="84">
        <f t="shared" si="24"/>
        <v>0</v>
      </c>
      <c r="BG25" s="94"/>
      <c r="BH25" s="84">
        <f t="shared" si="25"/>
        <v>0</v>
      </c>
      <c r="BI25" s="94"/>
      <c r="BJ25" s="84">
        <f t="shared" si="25"/>
        <v>0</v>
      </c>
    </row>
    <row r="26" spans="1:62" s="24" customFormat="1" ht="12" x14ac:dyDescent="0.25">
      <c r="A26" s="238" t="s">
        <v>436</v>
      </c>
      <c r="B26" s="281" t="s">
        <v>1157</v>
      </c>
      <c r="C26" s="85">
        <v>10000</v>
      </c>
      <c r="D26" s="86" t="s">
        <v>858</v>
      </c>
      <c r="E26" s="247">
        <v>0.13</v>
      </c>
      <c r="F26" s="87">
        <f t="shared" si="0"/>
        <v>1300</v>
      </c>
      <c r="G26" s="88">
        <f t="shared" si="1"/>
        <v>0</v>
      </c>
      <c r="H26" s="88">
        <f t="shared" si="2"/>
        <v>0</v>
      </c>
      <c r="I26" s="22"/>
      <c r="J26" s="89">
        <f>C26-(O26+Q26+S26+U26+W26+Y26+AA26+AC26+AE26+AG26+AI26+AK26+AM26+AO26+AQ26+AS26+AU26+AW26+AY26+BA26+BC26+BE26+BG26+BI26)</f>
        <v>10000</v>
      </c>
      <c r="K26" s="90">
        <f t="shared" si="3"/>
        <v>1300</v>
      </c>
      <c r="L26" s="91">
        <f t="shared" si="4"/>
        <v>0</v>
      </c>
      <c r="M26" s="91">
        <f t="shared" si="27"/>
        <v>0</v>
      </c>
      <c r="O26" s="92"/>
      <c r="P26" s="93">
        <f>O26*E26</f>
        <v>0</v>
      </c>
      <c r="Q26" s="92"/>
      <c r="R26" s="93">
        <f t="shared" si="6"/>
        <v>0</v>
      </c>
      <c r="S26" s="92"/>
      <c r="T26" s="93">
        <f t="shared" si="7"/>
        <v>0</v>
      </c>
      <c r="U26" s="92"/>
      <c r="V26" s="93">
        <f t="shared" si="8"/>
        <v>0</v>
      </c>
      <c r="W26" s="92"/>
      <c r="X26" s="93">
        <f t="shared" si="9"/>
        <v>0</v>
      </c>
      <c r="Y26" s="92"/>
      <c r="Z26" s="93">
        <f t="shared" si="10"/>
        <v>0</v>
      </c>
      <c r="AA26" s="92"/>
      <c r="AB26" s="93">
        <f t="shared" si="11"/>
        <v>0</v>
      </c>
      <c r="AC26" s="92"/>
      <c r="AD26" s="93">
        <f t="shared" si="12"/>
        <v>0</v>
      </c>
      <c r="AE26" s="92"/>
      <c r="AF26" s="93">
        <f t="shared" si="13"/>
        <v>0</v>
      </c>
      <c r="AG26" s="92"/>
      <c r="AH26" s="93">
        <f t="shared" si="14"/>
        <v>0</v>
      </c>
      <c r="AI26" s="92"/>
      <c r="AJ26" s="93">
        <f t="shared" si="15"/>
        <v>0</v>
      </c>
      <c r="AK26" s="92"/>
      <c r="AL26" s="93">
        <f t="shared" si="15"/>
        <v>0</v>
      </c>
      <c r="AM26" s="92"/>
      <c r="AN26" s="93">
        <f>AM26*AC26</f>
        <v>0</v>
      </c>
      <c r="AO26" s="92"/>
      <c r="AP26" s="93">
        <f t="shared" si="16"/>
        <v>0</v>
      </c>
      <c r="AQ26" s="92"/>
      <c r="AR26" s="93">
        <f t="shared" si="17"/>
        <v>0</v>
      </c>
      <c r="AS26" s="92"/>
      <c r="AT26" s="93">
        <f t="shared" si="18"/>
        <v>0</v>
      </c>
      <c r="AU26" s="92"/>
      <c r="AV26" s="93">
        <f t="shared" si="19"/>
        <v>0</v>
      </c>
      <c r="AW26" s="92"/>
      <c r="AX26" s="93">
        <f t="shared" si="20"/>
        <v>0</v>
      </c>
      <c r="AY26" s="92"/>
      <c r="AZ26" s="93">
        <f t="shared" si="21"/>
        <v>0</v>
      </c>
      <c r="BA26" s="92"/>
      <c r="BB26" s="93">
        <f t="shared" si="22"/>
        <v>0</v>
      </c>
      <c r="BC26" s="92"/>
      <c r="BD26" s="93">
        <f t="shared" si="23"/>
        <v>0</v>
      </c>
      <c r="BE26" s="92"/>
      <c r="BF26" s="93">
        <f t="shared" si="24"/>
        <v>0</v>
      </c>
      <c r="BG26" s="92"/>
      <c r="BH26" s="93">
        <f t="shared" si="25"/>
        <v>0</v>
      </c>
      <c r="BI26" s="92"/>
      <c r="BJ26" s="93">
        <f t="shared" si="25"/>
        <v>0</v>
      </c>
    </row>
    <row r="27" spans="1:62" s="24" customFormat="1" ht="12" x14ac:dyDescent="0.25">
      <c r="A27" s="237" t="s">
        <v>437</v>
      </c>
      <c r="B27" s="280" t="s">
        <v>1158</v>
      </c>
      <c r="C27" s="76">
        <v>16500</v>
      </c>
      <c r="D27" s="77" t="s">
        <v>858</v>
      </c>
      <c r="E27" s="246">
        <v>0.1</v>
      </c>
      <c r="F27" s="78">
        <f t="shared" si="0"/>
        <v>1650</v>
      </c>
      <c r="G27" s="79">
        <f t="shared" si="1"/>
        <v>0</v>
      </c>
      <c r="H27" s="79">
        <f t="shared" si="2"/>
        <v>0</v>
      </c>
      <c r="I27" s="22"/>
      <c r="J27" s="80">
        <f>C27-(O27+Q27+S27+U27+W27+Y27+AA27+AC27+AE27+AG27+AI27+AK27+AM27+AO27+AQ27+AS27+AU27+AW27+AY27+BA27+BC27+BE27+BG27+BI27)</f>
        <v>16500</v>
      </c>
      <c r="K27" s="81">
        <f t="shared" si="3"/>
        <v>1650</v>
      </c>
      <c r="L27" s="82">
        <f t="shared" si="4"/>
        <v>0</v>
      </c>
      <c r="M27" s="82">
        <f t="shared" si="27"/>
        <v>0</v>
      </c>
      <c r="O27" s="94"/>
      <c r="P27" s="84">
        <f>O27*E27</f>
        <v>0</v>
      </c>
      <c r="Q27" s="94"/>
      <c r="R27" s="84">
        <f t="shared" si="6"/>
        <v>0</v>
      </c>
      <c r="S27" s="94"/>
      <c r="T27" s="84">
        <f t="shared" si="7"/>
        <v>0</v>
      </c>
      <c r="U27" s="94"/>
      <c r="V27" s="84">
        <f t="shared" si="8"/>
        <v>0</v>
      </c>
      <c r="W27" s="94"/>
      <c r="X27" s="84">
        <f t="shared" si="9"/>
        <v>0</v>
      </c>
      <c r="Y27" s="94"/>
      <c r="Z27" s="84">
        <f t="shared" si="10"/>
        <v>0</v>
      </c>
      <c r="AA27" s="94"/>
      <c r="AB27" s="84">
        <f t="shared" si="11"/>
        <v>0</v>
      </c>
      <c r="AC27" s="94"/>
      <c r="AD27" s="84">
        <f t="shared" si="12"/>
        <v>0</v>
      </c>
      <c r="AE27" s="94"/>
      <c r="AF27" s="84">
        <f t="shared" si="13"/>
        <v>0</v>
      </c>
      <c r="AG27" s="94"/>
      <c r="AH27" s="84">
        <f t="shared" si="14"/>
        <v>0</v>
      </c>
      <c r="AI27" s="94"/>
      <c r="AJ27" s="84">
        <f t="shared" si="15"/>
        <v>0</v>
      </c>
      <c r="AK27" s="94"/>
      <c r="AL27" s="84">
        <f t="shared" si="15"/>
        <v>0</v>
      </c>
      <c r="AM27" s="94"/>
      <c r="AN27" s="84">
        <f>AM27*AC27</f>
        <v>0</v>
      </c>
      <c r="AO27" s="94"/>
      <c r="AP27" s="84">
        <f t="shared" si="16"/>
        <v>0</v>
      </c>
      <c r="AQ27" s="94"/>
      <c r="AR27" s="84">
        <f t="shared" si="17"/>
        <v>0</v>
      </c>
      <c r="AS27" s="94"/>
      <c r="AT27" s="84">
        <f t="shared" si="18"/>
        <v>0</v>
      </c>
      <c r="AU27" s="94"/>
      <c r="AV27" s="84">
        <f t="shared" si="19"/>
        <v>0</v>
      </c>
      <c r="AW27" s="94"/>
      <c r="AX27" s="84">
        <f t="shared" si="20"/>
        <v>0</v>
      </c>
      <c r="AY27" s="94"/>
      <c r="AZ27" s="84">
        <f t="shared" si="21"/>
        <v>0</v>
      </c>
      <c r="BA27" s="94"/>
      <c r="BB27" s="84">
        <f t="shared" si="22"/>
        <v>0</v>
      </c>
      <c r="BC27" s="94"/>
      <c r="BD27" s="84">
        <f t="shared" si="23"/>
        <v>0</v>
      </c>
      <c r="BE27" s="94"/>
      <c r="BF27" s="84">
        <f t="shared" si="24"/>
        <v>0</v>
      </c>
      <c r="BG27" s="94"/>
      <c r="BH27" s="84">
        <f t="shared" si="25"/>
        <v>0</v>
      </c>
      <c r="BI27" s="94"/>
      <c r="BJ27" s="84">
        <f t="shared" si="25"/>
        <v>0</v>
      </c>
    </row>
    <row r="28" spans="1:62" s="24" customFormat="1" ht="12" x14ac:dyDescent="0.25">
      <c r="A28" s="236"/>
      <c r="B28" s="305"/>
      <c r="C28" s="67"/>
      <c r="D28" s="67"/>
      <c r="E28" s="248"/>
      <c r="F28" s="68"/>
      <c r="G28" s="69"/>
      <c r="H28" s="69"/>
      <c r="I28" s="22"/>
      <c r="J28" s="95"/>
      <c r="K28" s="96"/>
      <c r="L28" s="97"/>
      <c r="M28" s="97"/>
      <c r="O28" s="98"/>
      <c r="P28" s="99"/>
      <c r="Q28" s="98"/>
      <c r="R28" s="99"/>
      <c r="S28" s="98"/>
      <c r="T28" s="99"/>
      <c r="U28" s="98"/>
      <c r="V28" s="99"/>
      <c r="W28" s="98"/>
      <c r="X28" s="99"/>
      <c r="Y28" s="98"/>
      <c r="Z28" s="99"/>
      <c r="AA28" s="98"/>
      <c r="AB28" s="99"/>
      <c r="AC28" s="98"/>
      <c r="AD28" s="99"/>
      <c r="AE28" s="98"/>
      <c r="AF28" s="99"/>
      <c r="AG28" s="98"/>
      <c r="AH28" s="99"/>
      <c r="AI28" s="98"/>
      <c r="AJ28" s="99"/>
      <c r="AK28" s="98"/>
      <c r="AL28" s="99"/>
      <c r="AM28" s="98"/>
      <c r="AN28" s="99"/>
      <c r="AO28" s="98"/>
      <c r="AP28" s="99"/>
      <c r="AQ28" s="98"/>
      <c r="AR28" s="99"/>
      <c r="AS28" s="98"/>
      <c r="AT28" s="99"/>
      <c r="AU28" s="98"/>
      <c r="AV28" s="99"/>
      <c r="AW28" s="98"/>
      <c r="AX28" s="99"/>
      <c r="AY28" s="98"/>
      <c r="AZ28" s="99"/>
      <c r="BA28" s="98"/>
      <c r="BB28" s="99"/>
      <c r="BC28" s="98"/>
      <c r="BD28" s="99"/>
      <c r="BE28" s="98"/>
      <c r="BF28" s="99"/>
      <c r="BG28" s="98"/>
      <c r="BH28" s="99"/>
      <c r="BI28" s="98"/>
      <c r="BJ28" s="99"/>
    </row>
    <row r="29" spans="1:62" s="24" customFormat="1" ht="12" x14ac:dyDescent="0.25">
      <c r="A29" s="237" t="s">
        <v>438</v>
      </c>
      <c r="B29" s="280" t="s">
        <v>1159</v>
      </c>
      <c r="C29" s="76">
        <v>1500</v>
      </c>
      <c r="D29" s="77" t="s">
        <v>858</v>
      </c>
      <c r="E29" s="246">
        <v>0.67</v>
      </c>
      <c r="F29" s="78">
        <f t="shared" si="0"/>
        <v>1005</v>
      </c>
      <c r="G29" s="79">
        <f t="shared" si="1"/>
        <v>0</v>
      </c>
      <c r="H29" s="79">
        <f t="shared" si="2"/>
        <v>0</v>
      </c>
      <c r="I29" s="22"/>
      <c r="J29" s="80">
        <f>C29-(O29+Q29+S29+U29+W29+Y29+AA29+AC29+AE29+AG29+AI29+AK29+AM29+AO29+AQ29+AS29+AU29+AW29+AY29+BA29+BC29+BE29+BG29+BI29)</f>
        <v>1500</v>
      </c>
      <c r="K29" s="81">
        <f t="shared" si="3"/>
        <v>1005.0000000000001</v>
      </c>
      <c r="L29" s="82">
        <f t="shared" si="4"/>
        <v>0</v>
      </c>
      <c r="M29" s="82">
        <f t="shared" si="27"/>
        <v>0</v>
      </c>
      <c r="O29" s="94"/>
      <c r="P29" s="84">
        <f>O29*E29</f>
        <v>0</v>
      </c>
      <c r="Q29" s="94"/>
      <c r="R29" s="84">
        <f t="shared" si="6"/>
        <v>0</v>
      </c>
      <c r="S29" s="94"/>
      <c r="T29" s="84">
        <f t="shared" si="7"/>
        <v>0</v>
      </c>
      <c r="U29" s="94"/>
      <c r="V29" s="84">
        <f t="shared" si="8"/>
        <v>0</v>
      </c>
      <c r="W29" s="94"/>
      <c r="X29" s="84">
        <f t="shared" si="9"/>
        <v>0</v>
      </c>
      <c r="Y29" s="94"/>
      <c r="Z29" s="84">
        <f t="shared" si="10"/>
        <v>0</v>
      </c>
      <c r="AA29" s="94"/>
      <c r="AB29" s="84">
        <f t="shared" si="11"/>
        <v>0</v>
      </c>
      <c r="AC29" s="94"/>
      <c r="AD29" s="84">
        <f t="shared" si="12"/>
        <v>0</v>
      </c>
      <c r="AE29" s="94"/>
      <c r="AF29" s="84">
        <f t="shared" si="13"/>
        <v>0</v>
      </c>
      <c r="AG29" s="94"/>
      <c r="AH29" s="84">
        <f t="shared" si="14"/>
        <v>0</v>
      </c>
      <c r="AI29" s="94"/>
      <c r="AJ29" s="84">
        <f t="shared" si="15"/>
        <v>0</v>
      </c>
      <c r="AK29" s="94"/>
      <c r="AL29" s="84">
        <f t="shared" si="15"/>
        <v>0</v>
      </c>
      <c r="AM29" s="94"/>
      <c r="AN29" s="84">
        <f>AM29*AC29</f>
        <v>0</v>
      </c>
      <c r="AO29" s="94"/>
      <c r="AP29" s="84">
        <f t="shared" si="16"/>
        <v>0</v>
      </c>
      <c r="AQ29" s="94"/>
      <c r="AR29" s="84">
        <f t="shared" si="17"/>
        <v>0</v>
      </c>
      <c r="AS29" s="94"/>
      <c r="AT29" s="84">
        <f t="shared" si="18"/>
        <v>0</v>
      </c>
      <c r="AU29" s="94"/>
      <c r="AV29" s="84">
        <f t="shared" si="19"/>
        <v>0</v>
      </c>
      <c r="AW29" s="94"/>
      <c r="AX29" s="84">
        <f t="shared" si="20"/>
        <v>0</v>
      </c>
      <c r="AY29" s="94"/>
      <c r="AZ29" s="84">
        <f t="shared" si="21"/>
        <v>0</v>
      </c>
      <c r="BA29" s="94"/>
      <c r="BB29" s="84">
        <f t="shared" si="22"/>
        <v>0</v>
      </c>
      <c r="BC29" s="94"/>
      <c r="BD29" s="84">
        <f t="shared" si="23"/>
        <v>0</v>
      </c>
      <c r="BE29" s="94"/>
      <c r="BF29" s="84">
        <f t="shared" si="24"/>
        <v>0</v>
      </c>
      <c r="BG29" s="94"/>
      <c r="BH29" s="84">
        <f t="shared" si="25"/>
        <v>0</v>
      </c>
      <c r="BI29" s="94"/>
      <c r="BJ29" s="84">
        <f t="shared" si="25"/>
        <v>0</v>
      </c>
    </row>
    <row r="30" spans="1:62" s="24" customFormat="1" ht="12" x14ac:dyDescent="0.25">
      <c r="A30" s="238" t="s">
        <v>439</v>
      </c>
      <c r="B30" s="281" t="s">
        <v>1160</v>
      </c>
      <c r="C30" s="85">
        <v>2000</v>
      </c>
      <c r="D30" s="86" t="s">
        <v>858</v>
      </c>
      <c r="E30" s="247">
        <v>0.66</v>
      </c>
      <c r="F30" s="87">
        <f t="shared" si="0"/>
        <v>1320</v>
      </c>
      <c r="G30" s="88">
        <f t="shared" si="1"/>
        <v>0</v>
      </c>
      <c r="H30" s="88">
        <f t="shared" si="2"/>
        <v>0</v>
      </c>
      <c r="I30" s="22"/>
      <c r="J30" s="89">
        <f>C30-(O30+Q30+S30+U30+W30+Y30+AA30+AC30+AE30+AG30+AI30+AK30+AM30+AO30+AQ30+AS30+AU30+AW30+AY30+BA30+BC30+BE30+BG30+BI30)</f>
        <v>2000</v>
      </c>
      <c r="K30" s="90">
        <f t="shared" si="3"/>
        <v>1320</v>
      </c>
      <c r="L30" s="91">
        <f t="shared" si="4"/>
        <v>0</v>
      </c>
      <c r="M30" s="91">
        <f t="shared" si="27"/>
        <v>0</v>
      </c>
      <c r="O30" s="92"/>
      <c r="P30" s="93">
        <f>O30*E30</f>
        <v>0</v>
      </c>
      <c r="Q30" s="92"/>
      <c r="R30" s="93">
        <f t="shared" si="6"/>
        <v>0</v>
      </c>
      <c r="S30" s="92"/>
      <c r="T30" s="93">
        <f t="shared" si="7"/>
        <v>0</v>
      </c>
      <c r="U30" s="92"/>
      <c r="V30" s="93">
        <f t="shared" si="8"/>
        <v>0</v>
      </c>
      <c r="W30" s="92"/>
      <c r="X30" s="93">
        <f t="shared" si="9"/>
        <v>0</v>
      </c>
      <c r="Y30" s="92"/>
      <c r="Z30" s="93">
        <f t="shared" si="10"/>
        <v>0</v>
      </c>
      <c r="AA30" s="92"/>
      <c r="AB30" s="93">
        <f t="shared" si="11"/>
        <v>0</v>
      </c>
      <c r="AC30" s="92"/>
      <c r="AD30" s="93">
        <f t="shared" si="12"/>
        <v>0</v>
      </c>
      <c r="AE30" s="92"/>
      <c r="AF30" s="93">
        <f t="shared" si="13"/>
        <v>0</v>
      </c>
      <c r="AG30" s="92"/>
      <c r="AH30" s="93">
        <f t="shared" si="14"/>
        <v>0</v>
      </c>
      <c r="AI30" s="92"/>
      <c r="AJ30" s="93">
        <f t="shared" si="15"/>
        <v>0</v>
      </c>
      <c r="AK30" s="92"/>
      <c r="AL30" s="93">
        <f t="shared" si="15"/>
        <v>0</v>
      </c>
      <c r="AM30" s="92"/>
      <c r="AN30" s="93">
        <f>AM30*AC30</f>
        <v>0</v>
      </c>
      <c r="AO30" s="92"/>
      <c r="AP30" s="93">
        <f t="shared" si="16"/>
        <v>0</v>
      </c>
      <c r="AQ30" s="92"/>
      <c r="AR30" s="93">
        <f t="shared" si="17"/>
        <v>0</v>
      </c>
      <c r="AS30" s="92"/>
      <c r="AT30" s="93">
        <f t="shared" si="18"/>
        <v>0</v>
      </c>
      <c r="AU30" s="92"/>
      <c r="AV30" s="93">
        <f t="shared" si="19"/>
        <v>0</v>
      </c>
      <c r="AW30" s="92"/>
      <c r="AX30" s="93">
        <f t="shared" si="20"/>
        <v>0</v>
      </c>
      <c r="AY30" s="92"/>
      <c r="AZ30" s="93">
        <f t="shared" si="21"/>
        <v>0</v>
      </c>
      <c r="BA30" s="92"/>
      <c r="BB30" s="93">
        <f t="shared" si="22"/>
        <v>0</v>
      </c>
      <c r="BC30" s="92"/>
      <c r="BD30" s="93">
        <f t="shared" si="23"/>
        <v>0</v>
      </c>
      <c r="BE30" s="92"/>
      <c r="BF30" s="93">
        <f t="shared" si="24"/>
        <v>0</v>
      </c>
      <c r="BG30" s="92"/>
      <c r="BH30" s="93">
        <f t="shared" si="25"/>
        <v>0</v>
      </c>
      <c r="BI30" s="92"/>
      <c r="BJ30" s="93">
        <f t="shared" si="25"/>
        <v>0</v>
      </c>
    </row>
    <row r="31" spans="1:62" s="24" customFormat="1" ht="12" x14ac:dyDescent="0.25">
      <c r="A31" s="237" t="s">
        <v>440</v>
      </c>
      <c r="B31" s="280" t="s">
        <v>1161</v>
      </c>
      <c r="C31" s="76">
        <v>4000</v>
      </c>
      <c r="D31" s="77" t="s">
        <v>858</v>
      </c>
      <c r="E31" s="246">
        <v>0.62</v>
      </c>
      <c r="F31" s="78">
        <f t="shared" si="0"/>
        <v>2480</v>
      </c>
      <c r="G31" s="79">
        <f t="shared" si="1"/>
        <v>0</v>
      </c>
      <c r="H31" s="79">
        <f t="shared" si="2"/>
        <v>0</v>
      </c>
      <c r="I31" s="22"/>
      <c r="J31" s="80">
        <f>C31-(O31+Q31+S31+U31+W31+Y31+AA31+AC31+AE31+AG31+AI31+AK31+AM31+AO31+AQ31+AS31+AU31+AW31+AY31+BA31+BC31+BE31+BG31+BI31)</f>
        <v>4000</v>
      </c>
      <c r="K31" s="81">
        <f t="shared" si="3"/>
        <v>2480</v>
      </c>
      <c r="L31" s="82">
        <f t="shared" si="4"/>
        <v>0</v>
      </c>
      <c r="M31" s="82">
        <f t="shared" si="27"/>
        <v>0</v>
      </c>
      <c r="O31" s="94"/>
      <c r="P31" s="84">
        <f>O31*E31</f>
        <v>0</v>
      </c>
      <c r="Q31" s="94"/>
      <c r="R31" s="84">
        <f t="shared" si="6"/>
        <v>0</v>
      </c>
      <c r="S31" s="94"/>
      <c r="T31" s="84">
        <f t="shared" si="7"/>
        <v>0</v>
      </c>
      <c r="U31" s="94"/>
      <c r="V31" s="84">
        <f t="shared" si="8"/>
        <v>0</v>
      </c>
      <c r="W31" s="94"/>
      <c r="X31" s="84">
        <f t="shared" si="9"/>
        <v>0</v>
      </c>
      <c r="Y31" s="94"/>
      <c r="Z31" s="84">
        <f t="shared" si="10"/>
        <v>0</v>
      </c>
      <c r="AA31" s="94"/>
      <c r="AB31" s="84">
        <f t="shared" si="11"/>
        <v>0</v>
      </c>
      <c r="AC31" s="94"/>
      <c r="AD31" s="84">
        <f t="shared" si="12"/>
        <v>0</v>
      </c>
      <c r="AE31" s="94"/>
      <c r="AF31" s="84">
        <f t="shared" si="13"/>
        <v>0</v>
      </c>
      <c r="AG31" s="94"/>
      <c r="AH31" s="84">
        <f t="shared" si="14"/>
        <v>0</v>
      </c>
      <c r="AI31" s="94"/>
      <c r="AJ31" s="84">
        <f t="shared" si="15"/>
        <v>0</v>
      </c>
      <c r="AK31" s="94"/>
      <c r="AL31" s="84">
        <f t="shared" si="15"/>
        <v>0</v>
      </c>
      <c r="AM31" s="94"/>
      <c r="AN31" s="84">
        <f>AM31*AC31</f>
        <v>0</v>
      </c>
      <c r="AO31" s="94"/>
      <c r="AP31" s="84">
        <f t="shared" si="16"/>
        <v>0</v>
      </c>
      <c r="AQ31" s="94"/>
      <c r="AR31" s="84">
        <f t="shared" si="17"/>
        <v>0</v>
      </c>
      <c r="AS31" s="94"/>
      <c r="AT31" s="84">
        <f t="shared" si="18"/>
        <v>0</v>
      </c>
      <c r="AU31" s="94"/>
      <c r="AV31" s="84">
        <f t="shared" si="19"/>
        <v>0</v>
      </c>
      <c r="AW31" s="94"/>
      <c r="AX31" s="84">
        <f t="shared" si="20"/>
        <v>0</v>
      </c>
      <c r="AY31" s="94"/>
      <c r="AZ31" s="84">
        <f t="shared" si="21"/>
        <v>0</v>
      </c>
      <c r="BA31" s="94"/>
      <c r="BB31" s="84">
        <f t="shared" si="22"/>
        <v>0</v>
      </c>
      <c r="BC31" s="94"/>
      <c r="BD31" s="84">
        <f t="shared" si="23"/>
        <v>0</v>
      </c>
      <c r="BE31" s="94"/>
      <c r="BF31" s="84">
        <f t="shared" si="24"/>
        <v>0</v>
      </c>
      <c r="BG31" s="94"/>
      <c r="BH31" s="84">
        <f t="shared" si="25"/>
        <v>0</v>
      </c>
      <c r="BI31" s="94"/>
      <c r="BJ31" s="84">
        <f t="shared" si="25"/>
        <v>0</v>
      </c>
    </row>
    <row r="32" spans="1:62" s="24" customFormat="1" ht="12" x14ac:dyDescent="0.25">
      <c r="A32" s="236"/>
      <c r="B32" s="306"/>
      <c r="C32" s="67"/>
      <c r="D32" s="67"/>
      <c r="E32" s="248"/>
      <c r="F32" s="68"/>
      <c r="G32" s="69"/>
      <c r="H32" s="69"/>
      <c r="I32" s="22"/>
      <c r="J32" s="95"/>
      <c r="K32" s="96"/>
      <c r="L32" s="97"/>
      <c r="M32" s="97"/>
      <c r="O32" s="98"/>
      <c r="P32" s="99"/>
      <c r="Q32" s="98"/>
      <c r="R32" s="99"/>
      <c r="S32" s="98"/>
      <c r="T32" s="99"/>
      <c r="U32" s="98"/>
      <c r="V32" s="99"/>
      <c r="W32" s="98"/>
      <c r="X32" s="99"/>
      <c r="Y32" s="98"/>
      <c r="Z32" s="99"/>
      <c r="AA32" s="98"/>
      <c r="AB32" s="99"/>
      <c r="AC32" s="98"/>
      <c r="AD32" s="99"/>
      <c r="AE32" s="98"/>
      <c r="AF32" s="99"/>
      <c r="AG32" s="98"/>
      <c r="AH32" s="99"/>
      <c r="AI32" s="98"/>
      <c r="AJ32" s="99"/>
      <c r="AK32" s="98"/>
      <c r="AL32" s="99"/>
      <c r="AM32" s="98"/>
      <c r="AN32" s="99"/>
      <c r="AO32" s="98"/>
      <c r="AP32" s="99"/>
      <c r="AQ32" s="98"/>
      <c r="AR32" s="99"/>
      <c r="AS32" s="98"/>
      <c r="AT32" s="99"/>
      <c r="AU32" s="98"/>
      <c r="AV32" s="99"/>
      <c r="AW32" s="98"/>
      <c r="AX32" s="99"/>
      <c r="AY32" s="98"/>
      <c r="AZ32" s="99"/>
      <c r="BA32" s="98"/>
      <c r="BB32" s="99"/>
      <c r="BC32" s="98"/>
      <c r="BD32" s="99"/>
      <c r="BE32" s="98"/>
      <c r="BF32" s="99"/>
      <c r="BG32" s="98"/>
      <c r="BH32" s="99"/>
      <c r="BI32" s="98"/>
      <c r="BJ32" s="99"/>
    </row>
    <row r="33" spans="1:62" s="24" customFormat="1" ht="24" x14ac:dyDescent="0.25">
      <c r="A33" s="237" t="s">
        <v>441</v>
      </c>
      <c r="B33" s="280" t="s">
        <v>1162</v>
      </c>
      <c r="C33" s="76">
        <v>600</v>
      </c>
      <c r="D33" s="77" t="s">
        <v>858</v>
      </c>
      <c r="E33" s="246">
        <v>0.96</v>
      </c>
      <c r="F33" s="78">
        <f t="shared" si="0"/>
        <v>576</v>
      </c>
      <c r="G33" s="79">
        <f t="shared" si="1"/>
        <v>0</v>
      </c>
      <c r="H33" s="79">
        <f t="shared" si="2"/>
        <v>0</v>
      </c>
      <c r="I33" s="22"/>
      <c r="J33" s="80">
        <f t="shared" ref="J33:J38" si="28">C33-(O33+Q33+S33+U33+W33+Y33+AA33+AC33+AE33+AG33+AI33+AK33+AM33+AO33+AQ33+AS33+AU33+AW33+AY33+BA33+BC33+BE33+BG33+BI33)</f>
        <v>600</v>
      </c>
      <c r="K33" s="81">
        <f t="shared" si="3"/>
        <v>576</v>
      </c>
      <c r="L33" s="82">
        <f t="shared" si="4"/>
        <v>0</v>
      </c>
      <c r="M33" s="82">
        <f t="shared" si="27"/>
        <v>0</v>
      </c>
      <c r="O33" s="94"/>
      <c r="P33" s="84">
        <f t="shared" ref="P33:P38" si="29">O33*E33</f>
        <v>0</v>
      </c>
      <c r="Q33" s="94"/>
      <c r="R33" s="84">
        <f t="shared" si="6"/>
        <v>0</v>
      </c>
      <c r="S33" s="94"/>
      <c r="T33" s="84">
        <f t="shared" si="7"/>
        <v>0</v>
      </c>
      <c r="U33" s="94"/>
      <c r="V33" s="84">
        <f t="shared" si="8"/>
        <v>0</v>
      </c>
      <c r="W33" s="94"/>
      <c r="X33" s="84">
        <f t="shared" si="9"/>
        <v>0</v>
      </c>
      <c r="Y33" s="94"/>
      <c r="Z33" s="84">
        <f t="shared" si="10"/>
        <v>0</v>
      </c>
      <c r="AA33" s="94"/>
      <c r="AB33" s="84">
        <f t="shared" si="11"/>
        <v>0</v>
      </c>
      <c r="AC33" s="94"/>
      <c r="AD33" s="84">
        <f t="shared" si="12"/>
        <v>0</v>
      </c>
      <c r="AE33" s="94"/>
      <c r="AF33" s="84">
        <f t="shared" si="13"/>
        <v>0</v>
      </c>
      <c r="AG33" s="94"/>
      <c r="AH33" s="84">
        <f t="shared" si="14"/>
        <v>0</v>
      </c>
      <c r="AI33" s="94"/>
      <c r="AJ33" s="84">
        <f t="shared" si="15"/>
        <v>0</v>
      </c>
      <c r="AK33" s="94"/>
      <c r="AL33" s="84">
        <f t="shared" si="15"/>
        <v>0</v>
      </c>
      <c r="AM33" s="94"/>
      <c r="AN33" s="84">
        <f t="shared" ref="AN33:AN38" si="30">AM33*AC33</f>
        <v>0</v>
      </c>
      <c r="AO33" s="94"/>
      <c r="AP33" s="84">
        <f t="shared" si="16"/>
        <v>0</v>
      </c>
      <c r="AQ33" s="94"/>
      <c r="AR33" s="84">
        <f t="shared" si="17"/>
        <v>0</v>
      </c>
      <c r="AS33" s="94"/>
      <c r="AT33" s="84">
        <f t="shared" si="18"/>
        <v>0</v>
      </c>
      <c r="AU33" s="94"/>
      <c r="AV33" s="84">
        <f t="shared" si="19"/>
        <v>0</v>
      </c>
      <c r="AW33" s="94"/>
      <c r="AX33" s="84">
        <f t="shared" si="20"/>
        <v>0</v>
      </c>
      <c r="AY33" s="94"/>
      <c r="AZ33" s="84">
        <f t="shared" si="21"/>
        <v>0</v>
      </c>
      <c r="BA33" s="94"/>
      <c r="BB33" s="84">
        <f t="shared" si="22"/>
        <v>0</v>
      </c>
      <c r="BC33" s="94"/>
      <c r="BD33" s="84">
        <f t="shared" si="23"/>
        <v>0</v>
      </c>
      <c r="BE33" s="94"/>
      <c r="BF33" s="84">
        <f t="shared" si="24"/>
        <v>0</v>
      </c>
      <c r="BG33" s="94"/>
      <c r="BH33" s="84">
        <f t="shared" si="25"/>
        <v>0</v>
      </c>
      <c r="BI33" s="94"/>
      <c r="BJ33" s="84">
        <f t="shared" si="25"/>
        <v>0</v>
      </c>
    </row>
    <row r="34" spans="1:62" s="24" customFormat="1" ht="12" x14ac:dyDescent="0.25">
      <c r="A34" s="238" t="s">
        <v>442</v>
      </c>
      <c r="B34" s="281" t="s">
        <v>1163</v>
      </c>
      <c r="C34" s="85">
        <v>700</v>
      </c>
      <c r="D34" s="86" t="s">
        <v>858</v>
      </c>
      <c r="E34" s="247">
        <v>0.38</v>
      </c>
      <c r="F34" s="87">
        <f t="shared" si="0"/>
        <v>266</v>
      </c>
      <c r="G34" s="88">
        <f t="shared" si="1"/>
        <v>0</v>
      </c>
      <c r="H34" s="88">
        <f t="shared" si="2"/>
        <v>0</v>
      </c>
      <c r="I34" s="22"/>
      <c r="J34" s="89">
        <f t="shared" si="28"/>
        <v>700</v>
      </c>
      <c r="K34" s="90">
        <f t="shared" si="3"/>
        <v>266</v>
      </c>
      <c r="L34" s="91">
        <f t="shared" si="4"/>
        <v>0</v>
      </c>
      <c r="M34" s="91">
        <f t="shared" si="27"/>
        <v>0</v>
      </c>
      <c r="O34" s="92"/>
      <c r="P34" s="93">
        <f t="shared" si="29"/>
        <v>0</v>
      </c>
      <c r="Q34" s="92"/>
      <c r="R34" s="93">
        <f t="shared" si="6"/>
        <v>0</v>
      </c>
      <c r="S34" s="92"/>
      <c r="T34" s="93">
        <f t="shared" si="7"/>
        <v>0</v>
      </c>
      <c r="U34" s="92"/>
      <c r="V34" s="93">
        <f t="shared" si="8"/>
        <v>0</v>
      </c>
      <c r="W34" s="92"/>
      <c r="X34" s="93">
        <f t="shared" si="9"/>
        <v>0</v>
      </c>
      <c r="Y34" s="92"/>
      <c r="Z34" s="93">
        <f t="shared" si="10"/>
        <v>0</v>
      </c>
      <c r="AA34" s="92"/>
      <c r="AB34" s="93">
        <f t="shared" si="11"/>
        <v>0</v>
      </c>
      <c r="AC34" s="92"/>
      <c r="AD34" s="93">
        <f t="shared" si="12"/>
        <v>0</v>
      </c>
      <c r="AE34" s="92"/>
      <c r="AF34" s="93">
        <f t="shared" si="13"/>
        <v>0</v>
      </c>
      <c r="AG34" s="92"/>
      <c r="AH34" s="93">
        <f t="shared" si="14"/>
        <v>0</v>
      </c>
      <c r="AI34" s="92"/>
      <c r="AJ34" s="93">
        <f t="shared" si="15"/>
        <v>0</v>
      </c>
      <c r="AK34" s="92"/>
      <c r="AL34" s="93">
        <f t="shared" si="15"/>
        <v>0</v>
      </c>
      <c r="AM34" s="92"/>
      <c r="AN34" s="93">
        <f t="shared" si="30"/>
        <v>0</v>
      </c>
      <c r="AO34" s="92"/>
      <c r="AP34" s="93">
        <f t="shared" si="16"/>
        <v>0</v>
      </c>
      <c r="AQ34" s="92"/>
      <c r="AR34" s="93">
        <f t="shared" si="17"/>
        <v>0</v>
      </c>
      <c r="AS34" s="92"/>
      <c r="AT34" s="93">
        <f t="shared" si="18"/>
        <v>0</v>
      </c>
      <c r="AU34" s="92"/>
      <c r="AV34" s="93">
        <f t="shared" si="19"/>
        <v>0</v>
      </c>
      <c r="AW34" s="92"/>
      <c r="AX34" s="93">
        <f t="shared" si="20"/>
        <v>0</v>
      </c>
      <c r="AY34" s="92"/>
      <c r="AZ34" s="93">
        <f t="shared" si="21"/>
        <v>0</v>
      </c>
      <c r="BA34" s="92"/>
      <c r="BB34" s="93">
        <f t="shared" si="22"/>
        <v>0</v>
      </c>
      <c r="BC34" s="92"/>
      <c r="BD34" s="93">
        <f t="shared" si="23"/>
        <v>0</v>
      </c>
      <c r="BE34" s="92"/>
      <c r="BF34" s="93">
        <f t="shared" si="24"/>
        <v>0</v>
      </c>
      <c r="BG34" s="92"/>
      <c r="BH34" s="93">
        <f t="shared" si="25"/>
        <v>0</v>
      </c>
      <c r="BI34" s="92"/>
      <c r="BJ34" s="93">
        <f t="shared" si="25"/>
        <v>0</v>
      </c>
    </row>
    <row r="35" spans="1:62" s="24" customFormat="1" ht="12" x14ac:dyDescent="0.25">
      <c r="A35" s="237" t="s">
        <v>443</v>
      </c>
      <c r="B35" s="280" t="s">
        <v>1164</v>
      </c>
      <c r="C35" s="76">
        <v>600</v>
      </c>
      <c r="D35" s="77" t="s">
        <v>858</v>
      </c>
      <c r="E35" s="246">
        <v>0.57999999999999996</v>
      </c>
      <c r="F35" s="78">
        <f t="shared" si="0"/>
        <v>348</v>
      </c>
      <c r="G35" s="79">
        <f t="shared" si="1"/>
        <v>0</v>
      </c>
      <c r="H35" s="79">
        <f t="shared" si="2"/>
        <v>0</v>
      </c>
      <c r="I35" s="22"/>
      <c r="J35" s="80">
        <f t="shared" si="28"/>
        <v>600</v>
      </c>
      <c r="K35" s="81">
        <f t="shared" si="3"/>
        <v>348</v>
      </c>
      <c r="L35" s="82">
        <f t="shared" si="4"/>
        <v>0</v>
      </c>
      <c r="M35" s="82">
        <f t="shared" si="27"/>
        <v>0</v>
      </c>
      <c r="O35" s="94"/>
      <c r="P35" s="84">
        <f t="shared" si="29"/>
        <v>0</v>
      </c>
      <c r="Q35" s="94"/>
      <c r="R35" s="84">
        <f t="shared" si="6"/>
        <v>0</v>
      </c>
      <c r="S35" s="94"/>
      <c r="T35" s="84">
        <f t="shared" si="7"/>
        <v>0</v>
      </c>
      <c r="U35" s="94"/>
      <c r="V35" s="84">
        <f t="shared" si="8"/>
        <v>0</v>
      </c>
      <c r="W35" s="94"/>
      <c r="X35" s="84">
        <f t="shared" si="9"/>
        <v>0</v>
      </c>
      <c r="Y35" s="94"/>
      <c r="Z35" s="84">
        <f t="shared" si="10"/>
        <v>0</v>
      </c>
      <c r="AA35" s="94"/>
      <c r="AB35" s="84">
        <f t="shared" si="11"/>
        <v>0</v>
      </c>
      <c r="AC35" s="94"/>
      <c r="AD35" s="84">
        <f t="shared" si="12"/>
        <v>0</v>
      </c>
      <c r="AE35" s="94"/>
      <c r="AF35" s="84">
        <f t="shared" si="13"/>
        <v>0</v>
      </c>
      <c r="AG35" s="94"/>
      <c r="AH35" s="84">
        <f t="shared" si="14"/>
        <v>0</v>
      </c>
      <c r="AI35" s="94"/>
      <c r="AJ35" s="84">
        <f t="shared" si="15"/>
        <v>0</v>
      </c>
      <c r="AK35" s="94"/>
      <c r="AL35" s="84">
        <f t="shared" si="15"/>
        <v>0</v>
      </c>
      <c r="AM35" s="94"/>
      <c r="AN35" s="84">
        <f t="shared" si="30"/>
        <v>0</v>
      </c>
      <c r="AO35" s="94"/>
      <c r="AP35" s="84">
        <f t="shared" si="16"/>
        <v>0</v>
      </c>
      <c r="AQ35" s="94"/>
      <c r="AR35" s="84">
        <f t="shared" si="17"/>
        <v>0</v>
      </c>
      <c r="AS35" s="94"/>
      <c r="AT35" s="84">
        <f t="shared" si="18"/>
        <v>0</v>
      </c>
      <c r="AU35" s="94"/>
      <c r="AV35" s="84">
        <f t="shared" si="19"/>
        <v>0</v>
      </c>
      <c r="AW35" s="94"/>
      <c r="AX35" s="84">
        <f t="shared" si="20"/>
        <v>0</v>
      </c>
      <c r="AY35" s="94"/>
      <c r="AZ35" s="84">
        <f t="shared" si="21"/>
        <v>0</v>
      </c>
      <c r="BA35" s="94"/>
      <c r="BB35" s="84">
        <f t="shared" si="22"/>
        <v>0</v>
      </c>
      <c r="BC35" s="94"/>
      <c r="BD35" s="84">
        <f t="shared" si="23"/>
        <v>0</v>
      </c>
      <c r="BE35" s="94"/>
      <c r="BF35" s="84">
        <f t="shared" si="24"/>
        <v>0</v>
      </c>
      <c r="BG35" s="94"/>
      <c r="BH35" s="84">
        <f t="shared" si="25"/>
        <v>0</v>
      </c>
      <c r="BI35" s="94"/>
      <c r="BJ35" s="84">
        <f t="shared" si="25"/>
        <v>0</v>
      </c>
    </row>
    <row r="36" spans="1:62" s="24" customFormat="1" ht="12" x14ac:dyDescent="0.25">
      <c r="A36" s="238" t="s">
        <v>444</v>
      </c>
      <c r="B36" s="281" t="s">
        <v>1165</v>
      </c>
      <c r="C36" s="85">
        <v>9000</v>
      </c>
      <c r="D36" s="86" t="s">
        <v>858</v>
      </c>
      <c r="E36" s="247">
        <v>0.13</v>
      </c>
      <c r="F36" s="87">
        <f t="shared" si="0"/>
        <v>1170</v>
      </c>
      <c r="G36" s="88">
        <f t="shared" si="1"/>
        <v>0</v>
      </c>
      <c r="H36" s="88">
        <f t="shared" si="2"/>
        <v>0</v>
      </c>
      <c r="I36" s="22"/>
      <c r="J36" s="89">
        <f t="shared" si="28"/>
        <v>9000</v>
      </c>
      <c r="K36" s="90">
        <f t="shared" si="3"/>
        <v>1170</v>
      </c>
      <c r="L36" s="91">
        <f t="shared" si="4"/>
        <v>0</v>
      </c>
      <c r="M36" s="91">
        <f t="shared" si="27"/>
        <v>0</v>
      </c>
      <c r="O36" s="92"/>
      <c r="P36" s="93">
        <f t="shared" si="29"/>
        <v>0</v>
      </c>
      <c r="Q36" s="92"/>
      <c r="R36" s="93">
        <f t="shared" si="6"/>
        <v>0</v>
      </c>
      <c r="S36" s="92"/>
      <c r="T36" s="93">
        <f t="shared" si="7"/>
        <v>0</v>
      </c>
      <c r="U36" s="92"/>
      <c r="V36" s="93">
        <f t="shared" si="8"/>
        <v>0</v>
      </c>
      <c r="W36" s="92"/>
      <c r="X36" s="93">
        <f t="shared" si="9"/>
        <v>0</v>
      </c>
      <c r="Y36" s="92"/>
      <c r="Z36" s="93">
        <f t="shared" si="10"/>
        <v>0</v>
      </c>
      <c r="AA36" s="92"/>
      <c r="AB36" s="93">
        <f t="shared" si="11"/>
        <v>0</v>
      </c>
      <c r="AC36" s="92"/>
      <c r="AD36" s="93">
        <f t="shared" si="12"/>
        <v>0</v>
      </c>
      <c r="AE36" s="92"/>
      <c r="AF36" s="93">
        <f t="shared" si="13"/>
        <v>0</v>
      </c>
      <c r="AG36" s="92"/>
      <c r="AH36" s="93">
        <f t="shared" si="14"/>
        <v>0</v>
      </c>
      <c r="AI36" s="92"/>
      <c r="AJ36" s="93">
        <f t="shared" si="15"/>
        <v>0</v>
      </c>
      <c r="AK36" s="92"/>
      <c r="AL36" s="93">
        <f t="shared" si="15"/>
        <v>0</v>
      </c>
      <c r="AM36" s="92"/>
      <c r="AN36" s="93">
        <f t="shared" si="30"/>
        <v>0</v>
      </c>
      <c r="AO36" s="92"/>
      <c r="AP36" s="93">
        <f t="shared" si="16"/>
        <v>0</v>
      </c>
      <c r="AQ36" s="92"/>
      <c r="AR36" s="93">
        <f t="shared" si="17"/>
        <v>0</v>
      </c>
      <c r="AS36" s="92"/>
      <c r="AT36" s="93">
        <f t="shared" si="18"/>
        <v>0</v>
      </c>
      <c r="AU36" s="92"/>
      <c r="AV36" s="93">
        <f t="shared" si="19"/>
        <v>0</v>
      </c>
      <c r="AW36" s="92"/>
      <c r="AX36" s="93">
        <f t="shared" si="20"/>
        <v>0</v>
      </c>
      <c r="AY36" s="92"/>
      <c r="AZ36" s="93">
        <f t="shared" si="21"/>
        <v>0</v>
      </c>
      <c r="BA36" s="92"/>
      <c r="BB36" s="93">
        <f t="shared" si="22"/>
        <v>0</v>
      </c>
      <c r="BC36" s="92"/>
      <c r="BD36" s="93">
        <f t="shared" si="23"/>
        <v>0</v>
      </c>
      <c r="BE36" s="92"/>
      <c r="BF36" s="93">
        <f t="shared" si="24"/>
        <v>0</v>
      </c>
      <c r="BG36" s="92"/>
      <c r="BH36" s="93">
        <f t="shared" si="25"/>
        <v>0</v>
      </c>
      <c r="BI36" s="92"/>
      <c r="BJ36" s="93">
        <f t="shared" si="25"/>
        <v>0</v>
      </c>
    </row>
    <row r="37" spans="1:62" s="24" customFormat="1" ht="12" x14ac:dyDescent="0.25">
      <c r="A37" s="237" t="s">
        <v>445</v>
      </c>
      <c r="B37" s="280" t="s">
        <v>1166</v>
      </c>
      <c r="C37" s="76">
        <v>14000</v>
      </c>
      <c r="D37" s="77" t="s">
        <v>858</v>
      </c>
      <c r="E37" s="246">
        <v>0.04</v>
      </c>
      <c r="F37" s="78">
        <f t="shared" si="0"/>
        <v>560</v>
      </c>
      <c r="G37" s="79">
        <f t="shared" si="1"/>
        <v>0</v>
      </c>
      <c r="H37" s="79">
        <f t="shared" si="2"/>
        <v>0</v>
      </c>
      <c r="I37" s="22"/>
      <c r="J37" s="80">
        <f t="shared" si="28"/>
        <v>14000</v>
      </c>
      <c r="K37" s="81">
        <f t="shared" si="3"/>
        <v>560</v>
      </c>
      <c r="L37" s="82">
        <f t="shared" si="4"/>
        <v>0</v>
      </c>
      <c r="M37" s="82">
        <f t="shared" si="27"/>
        <v>0</v>
      </c>
      <c r="O37" s="94"/>
      <c r="P37" s="84">
        <f t="shared" si="29"/>
        <v>0</v>
      </c>
      <c r="Q37" s="94"/>
      <c r="R37" s="84">
        <f t="shared" si="6"/>
        <v>0</v>
      </c>
      <c r="S37" s="94"/>
      <c r="T37" s="84">
        <f t="shared" si="7"/>
        <v>0</v>
      </c>
      <c r="U37" s="94"/>
      <c r="V37" s="84">
        <f t="shared" si="8"/>
        <v>0</v>
      </c>
      <c r="W37" s="94"/>
      <c r="X37" s="84">
        <f t="shared" si="9"/>
        <v>0</v>
      </c>
      <c r="Y37" s="94"/>
      <c r="Z37" s="84">
        <f t="shared" si="10"/>
        <v>0</v>
      </c>
      <c r="AA37" s="94"/>
      <c r="AB37" s="84">
        <f t="shared" si="11"/>
        <v>0</v>
      </c>
      <c r="AC37" s="94"/>
      <c r="AD37" s="84">
        <f t="shared" si="12"/>
        <v>0</v>
      </c>
      <c r="AE37" s="94"/>
      <c r="AF37" s="84">
        <f t="shared" si="13"/>
        <v>0</v>
      </c>
      <c r="AG37" s="94"/>
      <c r="AH37" s="84">
        <f t="shared" si="14"/>
        <v>0</v>
      </c>
      <c r="AI37" s="94"/>
      <c r="AJ37" s="84">
        <f t="shared" si="15"/>
        <v>0</v>
      </c>
      <c r="AK37" s="94"/>
      <c r="AL37" s="84">
        <f t="shared" si="15"/>
        <v>0</v>
      </c>
      <c r="AM37" s="94"/>
      <c r="AN37" s="84">
        <f t="shared" si="30"/>
        <v>0</v>
      </c>
      <c r="AO37" s="94"/>
      <c r="AP37" s="84">
        <f t="shared" si="16"/>
        <v>0</v>
      </c>
      <c r="AQ37" s="94"/>
      <c r="AR37" s="84">
        <f t="shared" si="17"/>
        <v>0</v>
      </c>
      <c r="AS37" s="94"/>
      <c r="AT37" s="84">
        <f t="shared" si="18"/>
        <v>0</v>
      </c>
      <c r="AU37" s="94"/>
      <c r="AV37" s="84">
        <f t="shared" si="19"/>
        <v>0</v>
      </c>
      <c r="AW37" s="94"/>
      <c r="AX37" s="84">
        <f t="shared" si="20"/>
        <v>0</v>
      </c>
      <c r="AY37" s="94"/>
      <c r="AZ37" s="84">
        <f t="shared" si="21"/>
        <v>0</v>
      </c>
      <c r="BA37" s="94"/>
      <c r="BB37" s="84">
        <f t="shared" si="22"/>
        <v>0</v>
      </c>
      <c r="BC37" s="94"/>
      <c r="BD37" s="84">
        <f t="shared" si="23"/>
        <v>0</v>
      </c>
      <c r="BE37" s="94"/>
      <c r="BF37" s="84">
        <f t="shared" si="24"/>
        <v>0</v>
      </c>
      <c r="BG37" s="94"/>
      <c r="BH37" s="84">
        <f t="shared" si="25"/>
        <v>0</v>
      </c>
      <c r="BI37" s="94"/>
      <c r="BJ37" s="84">
        <f t="shared" si="25"/>
        <v>0</v>
      </c>
    </row>
    <row r="38" spans="1:62" s="24" customFormat="1" ht="12" x14ac:dyDescent="0.25">
      <c r="A38" s="238" t="s">
        <v>446</v>
      </c>
      <c r="B38" s="281" t="s">
        <v>1167</v>
      </c>
      <c r="C38" s="85">
        <v>3000</v>
      </c>
      <c r="D38" s="86" t="s">
        <v>858</v>
      </c>
      <c r="E38" s="247">
        <v>0.03</v>
      </c>
      <c r="F38" s="87">
        <f t="shared" si="0"/>
        <v>90</v>
      </c>
      <c r="G38" s="88">
        <f t="shared" si="1"/>
        <v>0</v>
      </c>
      <c r="H38" s="88">
        <f t="shared" si="2"/>
        <v>0</v>
      </c>
      <c r="I38" s="22"/>
      <c r="J38" s="89">
        <f t="shared" si="28"/>
        <v>3000</v>
      </c>
      <c r="K38" s="90">
        <f t="shared" si="3"/>
        <v>90</v>
      </c>
      <c r="L38" s="91">
        <f t="shared" si="4"/>
        <v>0</v>
      </c>
      <c r="M38" s="91">
        <f t="shared" si="27"/>
        <v>0</v>
      </c>
      <c r="O38" s="92"/>
      <c r="P38" s="93">
        <f t="shared" si="29"/>
        <v>0</v>
      </c>
      <c r="Q38" s="92"/>
      <c r="R38" s="93">
        <f t="shared" si="6"/>
        <v>0</v>
      </c>
      <c r="S38" s="92"/>
      <c r="T38" s="93">
        <f t="shared" si="7"/>
        <v>0</v>
      </c>
      <c r="U38" s="92"/>
      <c r="V38" s="93">
        <f t="shared" si="8"/>
        <v>0</v>
      </c>
      <c r="W38" s="92"/>
      <c r="X38" s="93">
        <f t="shared" si="9"/>
        <v>0</v>
      </c>
      <c r="Y38" s="92"/>
      <c r="Z38" s="93">
        <f t="shared" si="10"/>
        <v>0</v>
      </c>
      <c r="AA38" s="92"/>
      <c r="AB38" s="93">
        <f t="shared" si="11"/>
        <v>0</v>
      </c>
      <c r="AC38" s="92"/>
      <c r="AD38" s="93">
        <f t="shared" si="12"/>
        <v>0</v>
      </c>
      <c r="AE38" s="92"/>
      <c r="AF38" s="93">
        <f t="shared" si="13"/>
        <v>0</v>
      </c>
      <c r="AG38" s="92"/>
      <c r="AH38" s="93">
        <f t="shared" si="14"/>
        <v>0</v>
      </c>
      <c r="AI38" s="92"/>
      <c r="AJ38" s="93">
        <f t="shared" si="15"/>
        <v>0</v>
      </c>
      <c r="AK38" s="92"/>
      <c r="AL38" s="93">
        <f t="shared" si="15"/>
        <v>0</v>
      </c>
      <c r="AM38" s="92"/>
      <c r="AN38" s="93">
        <f t="shared" si="30"/>
        <v>0</v>
      </c>
      <c r="AO38" s="92"/>
      <c r="AP38" s="93">
        <f t="shared" si="16"/>
        <v>0</v>
      </c>
      <c r="AQ38" s="92"/>
      <c r="AR38" s="93">
        <f t="shared" si="17"/>
        <v>0</v>
      </c>
      <c r="AS38" s="92"/>
      <c r="AT38" s="93">
        <f t="shared" si="18"/>
        <v>0</v>
      </c>
      <c r="AU38" s="92"/>
      <c r="AV38" s="93">
        <f t="shared" si="19"/>
        <v>0</v>
      </c>
      <c r="AW38" s="92"/>
      <c r="AX38" s="93">
        <f t="shared" si="20"/>
        <v>0</v>
      </c>
      <c r="AY38" s="92"/>
      <c r="AZ38" s="93">
        <f t="shared" si="21"/>
        <v>0</v>
      </c>
      <c r="BA38" s="92"/>
      <c r="BB38" s="93">
        <f t="shared" si="22"/>
        <v>0</v>
      </c>
      <c r="BC38" s="92"/>
      <c r="BD38" s="93">
        <f t="shared" si="23"/>
        <v>0</v>
      </c>
      <c r="BE38" s="92"/>
      <c r="BF38" s="93">
        <f t="shared" si="24"/>
        <v>0</v>
      </c>
      <c r="BG38" s="92"/>
      <c r="BH38" s="93">
        <f t="shared" si="25"/>
        <v>0</v>
      </c>
      <c r="BI38" s="92"/>
      <c r="BJ38" s="93">
        <f t="shared" si="25"/>
        <v>0</v>
      </c>
    </row>
    <row r="39" spans="1:62" s="24" customFormat="1" ht="12" x14ac:dyDescent="0.25">
      <c r="A39" s="236"/>
      <c r="B39" s="306"/>
      <c r="C39" s="67"/>
      <c r="D39" s="67"/>
      <c r="E39" s="248"/>
      <c r="F39" s="68"/>
      <c r="G39" s="69"/>
      <c r="H39" s="69"/>
      <c r="I39" s="22"/>
      <c r="J39" s="95"/>
      <c r="K39" s="96"/>
      <c r="L39" s="97"/>
      <c r="M39" s="97"/>
      <c r="O39" s="98"/>
      <c r="P39" s="99"/>
      <c r="Q39" s="98"/>
      <c r="R39" s="99"/>
      <c r="S39" s="98"/>
      <c r="T39" s="99"/>
      <c r="U39" s="98"/>
      <c r="V39" s="99"/>
      <c r="W39" s="98"/>
      <c r="X39" s="99"/>
      <c r="Y39" s="98"/>
      <c r="Z39" s="99"/>
      <c r="AA39" s="98"/>
      <c r="AB39" s="99"/>
      <c r="AC39" s="98"/>
      <c r="AD39" s="99"/>
      <c r="AE39" s="98"/>
      <c r="AF39" s="99"/>
      <c r="AG39" s="98"/>
      <c r="AH39" s="99"/>
      <c r="AI39" s="98"/>
      <c r="AJ39" s="99"/>
      <c r="AK39" s="98"/>
      <c r="AL39" s="99"/>
      <c r="AM39" s="98"/>
      <c r="AN39" s="99"/>
      <c r="AO39" s="98"/>
      <c r="AP39" s="99"/>
      <c r="AQ39" s="98"/>
      <c r="AR39" s="99"/>
      <c r="AS39" s="98"/>
      <c r="AT39" s="99"/>
      <c r="AU39" s="98"/>
      <c r="AV39" s="99"/>
      <c r="AW39" s="98"/>
      <c r="AX39" s="99"/>
      <c r="AY39" s="98"/>
      <c r="AZ39" s="99"/>
      <c r="BA39" s="98"/>
      <c r="BB39" s="99"/>
      <c r="BC39" s="98"/>
      <c r="BD39" s="99"/>
      <c r="BE39" s="98"/>
      <c r="BF39" s="99"/>
      <c r="BG39" s="98"/>
      <c r="BH39" s="99"/>
      <c r="BI39" s="98"/>
      <c r="BJ39" s="99"/>
    </row>
    <row r="40" spans="1:62" s="24" customFormat="1" ht="12" x14ac:dyDescent="0.25">
      <c r="A40" s="237" t="s">
        <v>447</v>
      </c>
      <c r="B40" s="280" t="s">
        <v>1168</v>
      </c>
      <c r="C40" s="76">
        <v>3000</v>
      </c>
      <c r="D40" s="77" t="s">
        <v>858</v>
      </c>
      <c r="E40" s="246">
        <v>0.12</v>
      </c>
      <c r="F40" s="78">
        <f t="shared" si="0"/>
        <v>360</v>
      </c>
      <c r="G40" s="79">
        <f t="shared" si="1"/>
        <v>0</v>
      </c>
      <c r="H40" s="79">
        <f t="shared" si="2"/>
        <v>0</v>
      </c>
      <c r="I40" s="22"/>
      <c r="J40" s="80">
        <f>C40-(O40+Q40+S40+U40+W40+Y40+AA40+AC40+AE40+AG40+AI40+AK40+AM40+AO40+AQ40+AS40+AU40+AW40+AY40+BA40+BC40+BE40+BG40+BI40)</f>
        <v>3000</v>
      </c>
      <c r="K40" s="81">
        <f t="shared" si="3"/>
        <v>360</v>
      </c>
      <c r="L40" s="82">
        <f t="shared" si="4"/>
        <v>0</v>
      </c>
      <c r="M40" s="82">
        <f t="shared" si="27"/>
        <v>0</v>
      </c>
      <c r="O40" s="94"/>
      <c r="P40" s="84">
        <f>O40*E40</f>
        <v>0</v>
      </c>
      <c r="Q40" s="94"/>
      <c r="R40" s="84">
        <f t="shared" si="6"/>
        <v>0</v>
      </c>
      <c r="S40" s="94"/>
      <c r="T40" s="84">
        <f t="shared" si="7"/>
        <v>0</v>
      </c>
      <c r="U40" s="94"/>
      <c r="V40" s="84">
        <f t="shared" si="8"/>
        <v>0</v>
      </c>
      <c r="W40" s="94"/>
      <c r="X40" s="84">
        <f t="shared" si="9"/>
        <v>0</v>
      </c>
      <c r="Y40" s="94"/>
      <c r="Z40" s="84">
        <f t="shared" si="10"/>
        <v>0</v>
      </c>
      <c r="AA40" s="94"/>
      <c r="AB40" s="84">
        <f t="shared" si="11"/>
        <v>0</v>
      </c>
      <c r="AC40" s="94"/>
      <c r="AD40" s="84">
        <f t="shared" si="12"/>
        <v>0</v>
      </c>
      <c r="AE40" s="94"/>
      <c r="AF40" s="84">
        <f t="shared" si="13"/>
        <v>0</v>
      </c>
      <c r="AG40" s="94"/>
      <c r="AH40" s="84">
        <f t="shared" si="14"/>
        <v>0</v>
      </c>
      <c r="AI40" s="94"/>
      <c r="AJ40" s="84">
        <f t="shared" si="15"/>
        <v>0</v>
      </c>
      <c r="AK40" s="94"/>
      <c r="AL40" s="84">
        <f t="shared" si="15"/>
        <v>0</v>
      </c>
      <c r="AM40" s="94"/>
      <c r="AN40" s="84">
        <f>AM40*AC40</f>
        <v>0</v>
      </c>
      <c r="AO40" s="94"/>
      <c r="AP40" s="84">
        <f t="shared" si="16"/>
        <v>0</v>
      </c>
      <c r="AQ40" s="94"/>
      <c r="AR40" s="84">
        <f t="shared" si="17"/>
        <v>0</v>
      </c>
      <c r="AS40" s="94"/>
      <c r="AT40" s="84">
        <f t="shared" si="18"/>
        <v>0</v>
      </c>
      <c r="AU40" s="94"/>
      <c r="AV40" s="84">
        <f t="shared" si="19"/>
        <v>0</v>
      </c>
      <c r="AW40" s="94"/>
      <c r="AX40" s="84">
        <f t="shared" si="20"/>
        <v>0</v>
      </c>
      <c r="AY40" s="94"/>
      <c r="AZ40" s="84">
        <f t="shared" si="21"/>
        <v>0</v>
      </c>
      <c r="BA40" s="94"/>
      <c r="BB40" s="84">
        <f t="shared" si="22"/>
        <v>0</v>
      </c>
      <c r="BC40" s="94"/>
      <c r="BD40" s="84">
        <f t="shared" si="23"/>
        <v>0</v>
      </c>
      <c r="BE40" s="94"/>
      <c r="BF40" s="84">
        <f t="shared" si="24"/>
        <v>0</v>
      </c>
      <c r="BG40" s="94"/>
      <c r="BH40" s="84">
        <f t="shared" si="25"/>
        <v>0</v>
      </c>
      <c r="BI40" s="94"/>
      <c r="BJ40" s="84">
        <f t="shared" si="25"/>
        <v>0</v>
      </c>
    </row>
    <row r="41" spans="1:62" s="24" customFormat="1" ht="12" x14ac:dyDescent="0.25">
      <c r="A41" s="238" t="s">
        <v>448</v>
      </c>
      <c r="B41" s="281" t="s">
        <v>1169</v>
      </c>
      <c r="C41" s="85">
        <v>200</v>
      </c>
      <c r="D41" s="86" t="s">
        <v>858</v>
      </c>
      <c r="E41" s="247">
        <v>0.57999999999999996</v>
      </c>
      <c r="F41" s="87">
        <f t="shared" si="0"/>
        <v>116</v>
      </c>
      <c r="G41" s="88">
        <f t="shared" si="1"/>
        <v>0</v>
      </c>
      <c r="H41" s="88">
        <f t="shared" si="2"/>
        <v>0</v>
      </c>
      <c r="I41" s="22"/>
      <c r="J41" s="89">
        <f>C41-(O41+Q41+S41+U41+W41+Y41+AA41+AC41+AE41+AG41+AI41+AK41+AM41+AO41+AQ41+AS41+AU41+AW41+AY41+BA41+BC41+BE41+BG41+BI41)</f>
        <v>200</v>
      </c>
      <c r="K41" s="90">
        <f t="shared" si="3"/>
        <v>115.99999999999999</v>
      </c>
      <c r="L41" s="91">
        <f t="shared" si="4"/>
        <v>0</v>
      </c>
      <c r="M41" s="91">
        <f t="shared" si="27"/>
        <v>0</v>
      </c>
      <c r="O41" s="92"/>
      <c r="P41" s="93">
        <f>O41*E41</f>
        <v>0</v>
      </c>
      <c r="Q41" s="92"/>
      <c r="R41" s="93">
        <f t="shared" si="6"/>
        <v>0</v>
      </c>
      <c r="S41" s="92"/>
      <c r="T41" s="93">
        <f t="shared" si="7"/>
        <v>0</v>
      </c>
      <c r="U41" s="92"/>
      <c r="V41" s="93">
        <f t="shared" si="8"/>
        <v>0</v>
      </c>
      <c r="W41" s="92"/>
      <c r="X41" s="93">
        <f t="shared" si="9"/>
        <v>0</v>
      </c>
      <c r="Y41" s="92"/>
      <c r="Z41" s="93">
        <f t="shared" si="10"/>
        <v>0</v>
      </c>
      <c r="AA41" s="92"/>
      <c r="AB41" s="93">
        <f t="shared" si="11"/>
        <v>0</v>
      </c>
      <c r="AC41" s="92"/>
      <c r="AD41" s="93">
        <f t="shared" si="12"/>
        <v>0</v>
      </c>
      <c r="AE41" s="92"/>
      <c r="AF41" s="93">
        <f t="shared" si="13"/>
        <v>0</v>
      </c>
      <c r="AG41" s="92"/>
      <c r="AH41" s="93">
        <f t="shared" si="14"/>
        <v>0</v>
      </c>
      <c r="AI41" s="92"/>
      <c r="AJ41" s="93">
        <f t="shared" si="15"/>
        <v>0</v>
      </c>
      <c r="AK41" s="92"/>
      <c r="AL41" s="93">
        <f t="shared" si="15"/>
        <v>0</v>
      </c>
      <c r="AM41" s="92"/>
      <c r="AN41" s="93">
        <f>AM41*AC41</f>
        <v>0</v>
      </c>
      <c r="AO41" s="92"/>
      <c r="AP41" s="93">
        <f t="shared" si="16"/>
        <v>0</v>
      </c>
      <c r="AQ41" s="92"/>
      <c r="AR41" s="93">
        <f t="shared" si="17"/>
        <v>0</v>
      </c>
      <c r="AS41" s="92"/>
      <c r="AT41" s="93">
        <f t="shared" si="18"/>
        <v>0</v>
      </c>
      <c r="AU41" s="92"/>
      <c r="AV41" s="93">
        <f t="shared" si="19"/>
        <v>0</v>
      </c>
      <c r="AW41" s="92"/>
      <c r="AX41" s="93">
        <f t="shared" si="20"/>
        <v>0</v>
      </c>
      <c r="AY41" s="92"/>
      <c r="AZ41" s="93">
        <f t="shared" si="21"/>
        <v>0</v>
      </c>
      <c r="BA41" s="92"/>
      <c r="BB41" s="93">
        <f t="shared" si="22"/>
        <v>0</v>
      </c>
      <c r="BC41" s="92"/>
      <c r="BD41" s="93">
        <f t="shared" si="23"/>
        <v>0</v>
      </c>
      <c r="BE41" s="92"/>
      <c r="BF41" s="93">
        <f t="shared" si="24"/>
        <v>0</v>
      </c>
      <c r="BG41" s="92"/>
      <c r="BH41" s="93">
        <f t="shared" si="25"/>
        <v>0</v>
      </c>
      <c r="BI41" s="92"/>
      <c r="BJ41" s="93">
        <f t="shared" si="25"/>
        <v>0</v>
      </c>
    </row>
    <row r="42" spans="1:62" s="24" customFormat="1" ht="24" x14ac:dyDescent="0.25">
      <c r="A42" s="237" t="s">
        <v>449</v>
      </c>
      <c r="B42" s="280" t="s">
        <v>1170</v>
      </c>
      <c r="C42" s="76">
        <v>3000</v>
      </c>
      <c r="D42" s="77" t="s">
        <v>858</v>
      </c>
      <c r="E42" s="246">
        <v>0.27</v>
      </c>
      <c r="F42" s="78">
        <f t="shared" si="0"/>
        <v>810</v>
      </c>
      <c r="G42" s="79">
        <f t="shared" si="1"/>
        <v>0</v>
      </c>
      <c r="H42" s="79">
        <f t="shared" si="2"/>
        <v>0</v>
      </c>
      <c r="I42" s="22"/>
      <c r="J42" s="80">
        <f>C42-(O42+Q42+S42+U42+W42+Y42+AA42+AC42+AE42+AG42+AI42+AK42+AM42+AO42+AQ42+AS42+AU42+AW42+AY42+BA42+BC42+BE42+BG42+BI42)</f>
        <v>3000</v>
      </c>
      <c r="K42" s="81">
        <f t="shared" si="3"/>
        <v>810</v>
      </c>
      <c r="L42" s="82">
        <f t="shared" si="4"/>
        <v>0</v>
      </c>
      <c r="M42" s="82">
        <f t="shared" si="27"/>
        <v>0</v>
      </c>
      <c r="O42" s="94"/>
      <c r="P42" s="84">
        <f>O42*E42</f>
        <v>0</v>
      </c>
      <c r="Q42" s="94"/>
      <c r="R42" s="84">
        <f t="shared" si="6"/>
        <v>0</v>
      </c>
      <c r="S42" s="94"/>
      <c r="T42" s="84">
        <f t="shared" si="7"/>
        <v>0</v>
      </c>
      <c r="U42" s="94"/>
      <c r="V42" s="84">
        <f t="shared" si="8"/>
        <v>0</v>
      </c>
      <c r="W42" s="94"/>
      <c r="X42" s="84">
        <f t="shared" si="9"/>
        <v>0</v>
      </c>
      <c r="Y42" s="94"/>
      <c r="Z42" s="84">
        <f t="shared" si="10"/>
        <v>0</v>
      </c>
      <c r="AA42" s="94"/>
      <c r="AB42" s="84">
        <f t="shared" si="11"/>
        <v>0</v>
      </c>
      <c r="AC42" s="94"/>
      <c r="AD42" s="84">
        <f t="shared" si="12"/>
        <v>0</v>
      </c>
      <c r="AE42" s="94"/>
      <c r="AF42" s="84">
        <f t="shared" si="13"/>
        <v>0</v>
      </c>
      <c r="AG42" s="94"/>
      <c r="AH42" s="84">
        <f t="shared" si="14"/>
        <v>0</v>
      </c>
      <c r="AI42" s="94"/>
      <c r="AJ42" s="84">
        <f t="shared" si="15"/>
        <v>0</v>
      </c>
      <c r="AK42" s="94"/>
      <c r="AL42" s="84">
        <f t="shared" si="15"/>
        <v>0</v>
      </c>
      <c r="AM42" s="94"/>
      <c r="AN42" s="84">
        <f>AM42*AC42</f>
        <v>0</v>
      </c>
      <c r="AO42" s="94"/>
      <c r="AP42" s="84">
        <f t="shared" si="16"/>
        <v>0</v>
      </c>
      <c r="AQ42" s="94"/>
      <c r="AR42" s="84">
        <f t="shared" si="17"/>
        <v>0</v>
      </c>
      <c r="AS42" s="94"/>
      <c r="AT42" s="84">
        <f t="shared" si="18"/>
        <v>0</v>
      </c>
      <c r="AU42" s="94"/>
      <c r="AV42" s="84">
        <f t="shared" si="19"/>
        <v>0</v>
      </c>
      <c r="AW42" s="94"/>
      <c r="AX42" s="84">
        <f t="shared" si="20"/>
        <v>0</v>
      </c>
      <c r="AY42" s="94"/>
      <c r="AZ42" s="84">
        <f t="shared" si="21"/>
        <v>0</v>
      </c>
      <c r="BA42" s="94"/>
      <c r="BB42" s="84">
        <f t="shared" si="22"/>
        <v>0</v>
      </c>
      <c r="BC42" s="94"/>
      <c r="BD42" s="84">
        <f t="shared" si="23"/>
        <v>0</v>
      </c>
      <c r="BE42" s="94"/>
      <c r="BF42" s="84">
        <f t="shared" si="24"/>
        <v>0</v>
      </c>
      <c r="BG42" s="94"/>
      <c r="BH42" s="84">
        <f t="shared" si="25"/>
        <v>0</v>
      </c>
      <c r="BI42" s="94"/>
      <c r="BJ42" s="84">
        <f t="shared" si="25"/>
        <v>0</v>
      </c>
    </row>
    <row r="43" spans="1:62" s="24" customFormat="1" ht="12" x14ac:dyDescent="0.25">
      <c r="A43" s="238" t="s">
        <v>450</v>
      </c>
      <c r="B43" s="281" t="s">
        <v>1171</v>
      </c>
      <c r="C43" s="85">
        <v>500</v>
      </c>
      <c r="D43" s="86" t="s">
        <v>858</v>
      </c>
      <c r="E43" s="247">
        <v>0.16</v>
      </c>
      <c r="F43" s="87">
        <f t="shared" si="0"/>
        <v>80</v>
      </c>
      <c r="G43" s="88">
        <f t="shared" si="1"/>
        <v>0</v>
      </c>
      <c r="H43" s="88">
        <f t="shared" si="2"/>
        <v>0</v>
      </c>
      <c r="I43" s="22"/>
      <c r="J43" s="89">
        <f>C43-(O43+Q43+S43+U43+W43+Y43+AA43+AC43+AE43+AG43+AI43+AK43+AM43+AO43+AQ43+AS43+AU43+AW43+AY43+BA43+BC43+BE43+BG43+BI43)</f>
        <v>500</v>
      </c>
      <c r="K43" s="90">
        <f t="shared" si="3"/>
        <v>80</v>
      </c>
      <c r="L43" s="91">
        <f t="shared" si="4"/>
        <v>0</v>
      </c>
      <c r="M43" s="91">
        <f t="shared" si="27"/>
        <v>0</v>
      </c>
      <c r="O43" s="92"/>
      <c r="P43" s="93">
        <f>O43*E43</f>
        <v>0</v>
      </c>
      <c r="Q43" s="92"/>
      <c r="R43" s="93">
        <f t="shared" si="6"/>
        <v>0</v>
      </c>
      <c r="S43" s="92"/>
      <c r="T43" s="93">
        <f t="shared" si="7"/>
        <v>0</v>
      </c>
      <c r="U43" s="92"/>
      <c r="V43" s="93">
        <f t="shared" si="8"/>
        <v>0</v>
      </c>
      <c r="W43" s="92"/>
      <c r="X43" s="93">
        <f t="shared" si="9"/>
        <v>0</v>
      </c>
      <c r="Y43" s="92"/>
      <c r="Z43" s="93">
        <f t="shared" si="10"/>
        <v>0</v>
      </c>
      <c r="AA43" s="92"/>
      <c r="AB43" s="93">
        <f t="shared" si="11"/>
        <v>0</v>
      </c>
      <c r="AC43" s="92"/>
      <c r="AD43" s="93">
        <f t="shared" si="12"/>
        <v>0</v>
      </c>
      <c r="AE43" s="92"/>
      <c r="AF43" s="93">
        <f t="shared" si="13"/>
        <v>0</v>
      </c>
      <c r="AG43" s="92"/>
      <c r="AH43" s="93">
        <f t="shared" si="14"/>
        <v>0</v>
      </c>
      <c r="AI43" s="92"/>
      <c r="AJ43" s="93">
        <f t="shared" si="15"/>
        <v>0</v>
      </c>
      <c r="AK43" s="92"/>
      <c r="AL43" s="93">
        <f t="shared" si="15"/>
        <v>0</v>
      </c>
      <c r="AM43" s="92"/>
      <c r="AN43" s="93">
        <f>AM43*AC43</f>
        <v>0</v>
      </c>
      <c r="AO43" s="92"/>
      <c r="AP43" s="93">
        <f t="shared" si="16"/>
        <v>0</v>
      </c>
      <c r="AQ43" s="92"/>
      <c r="AR43" s="93">
        <f t="shared" si="17"/>
        <v>0</v>
      </c>
      <c r="AS43" s="92"/>
      <c r="AT43" s="93">
        <f t="shared" si="18"/>
        <v>0</v>
      </c>
      <c r="AU43" s="92"/>
      <c r="AV43" s="93">
        <f t="shared" si="19"/>
        <v>0</v>
      </c>
      <c r="AW43" s="92"/>
      <c r="AX43" s="93">
        <f t="shared" si="20"/>
        <v>0</v>
      </c>
      <c r="AY43" s="92"/>
      <c r="AZ43" s="93">
        <f t="shared" si="21"/>
        <v>0</v>
      </c>
      <c r="BA43" s="92"/>
      <c r="BB43" s="93">
        <f t="shared" si="22"/>
        <v>0</v>
      </c>
      <c r="BC43" s="92"/>
      <c r="BD43" s="93">
        <f t="shared" si="23"/>
        <v>0</v>
      </c>
      <c r="BE43" s="92"/>
      <c r="BF43" s="93">
        <f t="shared" si="24"/>
        <v>0</v>
      </c>
      <c r="BG43" s="92"/>
      <c r="BH43" s="93">
        <f t="shared" si="25"/>
        <v>0</v>
      </c>
      <c r="BI43" s="92"/>
      <c r="BJ43" s="93">
        <f t="shared" si="25"/>
        <v>0</v>
      </c>
    </row>
    <row r="44" spans="1:62" s="24" customFormat="1" ht="12" x14ac:dyDescent="0.25">
      <c r="A44" s="237" t="s">
        <v>451</v>
      </c>
      <c r="B44" s="280" t="s">
        <v>1172</v>
      </c>
      <c r="C44" s="76">
        <v>3000</v>
      </c>
      <c r="D44" s="77" t="s">
        <v>858</v>
      </c>
      <c r="E44" s="246">
        <v>0.09</v>
      </c>
      <c r="F44" s="78">
        <f t="shared" si="0"/>
        <v>270</v>
      </c>
      <c r="G44" s="79">
        <f t="shared" si="1"/>
        <v>0</v>
      </c>
      <c r="H44" s="79">
        <f t="shared" si="2"/>
        <v>0</v>
      </c>
      <c r="I44" s="22"/>
      <c r="J44" s="80">
        <f>C44-(O44+Q44+S44+U44+W44+Y44+AA44+AC44+AE44+AG44+AI44+AK44+AM44+AO44+AQ44+AS44+AU44+AW44+AY44+BA44+BC44+BE44+BG44+BI44)</f>
        <v>3000</v>
      </c>
      <c r="K44" s="81">
        <f t="shared" si="3"/>
        <v>270</v>
      </c>
      <c r="L44" s="82">
        <f t="shared" si="4"/>
        <v>0</v>
      </c>
      <c r="M44" s="82">
        <f t="shared" si="27"/>
        <v>0</v>
      </c>
      <c r="O44" s="94"/>
      <c r="P44" s="84">
        <f>O44*E44</f>
        <v>0</v>
      </c>
      <c r="Q44" s="94"/>
      <c r="R44" s="84">
        <f t="shared" si="6"/>
        <v>0</v>
      </c>
      <c r="S44" s="94"/>
      <c r="T44" s="84">
        <f t="shared" si="7"/>
        <v>0</v>
      </c>
      <c r="U44" s="94"/>
      <c r="V44" s="84">
        <f t="shared" si="8"/>
        <v>0</v>
      </c>
      <c r="W44" s="94"/>
      <c r="X44" s="84">
        <f t="shared" si="9"/>
        <v>0</v>
      </c>
      <c r="Y44" s="94"/>
      <c r="Z44" s="84">
        <f t="shared" si="10"/>
        <v>0</v>
      </c>
      <c r="AA44" s="94"/>
      <c r="AB44" s="84">
        <f t="shared" si="11"/>
        <v>0</v>
      </c>
      <c r="AC44" s="94"/>
      <c r="AD44" s="84">
        <f t="shared" si="12"/>
        <v>0</v>
      </c>
      <c r="AE44" s="94"/>
      <c r="AF44" s="84">
        <f t="shared" si="13"/>
        <v>0</v>
      </c>
      <c r="AG44" s="94"/>
      <c r="AH44" s="84">
        <f t="shared" si="14"/>
        <v>0</v>
      </c>
      <c r="AI44" s="94"/>
      <c r="AJ44" s="84">
        <f t="shared" si="15"/>
        <v>0</v>
      </c>
      <c r="AK44" s="94"/>
      <c r="AL44" s="84">
        <f t="shared" si="15"/>
        <v>0</v>
      </c>
      <c r="AM44" s="94"/>
      <c r="AN44" s="84">
        <f>AM44*AC44</f>
        <v>0</v>
      </c>
      <c r="AO44" s="94"/>
      <c r="AP44" s="84">
        <f t="shared" si="16"/>
        <v>0</v>
      </c>
      <c r="AQ44" s="94"/>
      <c r="AR44" s="84">
        <f t="shared" si="17"/>
        <v>0</v>
      </c>
      <c r="AS44" s="94"/>
      <c r="AT44" s="84">
        <f t="shared" si="18"/>
        <v>0</v>
      </c>
      <c r="AU44" s="94"/>
      <c r="AV44" s="84">
        <f t="shared" si="19"/>
        <v>0</v>
      </c>
      <c r="AW44" s="94"/>
      <c r="AX44" s="84">
        <f t="shared" si="20"/>
        <v>0</v>
      </c>
      <c r="AY44" s="94"/>
      <c r="AZ44" s="84">
        <f t="shared" si="21"/>
        <v>0</v>
      </c>
      <c r="BA44" s="94"/>
      <c r="BB44" s="84">
        <f t="shared" si="22"/>
        <v>0</v>
      </c>
      <c r="BC44" s="94"/>
      <c r="BD44" s="84">
        <f t="shared" si="23"/>
        <v>0</v>
      </c>
      <c r="BE44" s="94"/>
      <c r="BF44" s="84">
        <f t="shared" si="24"/>
        <v>0</v>
      </c>
      <c r="BG44" s="94"/>
      <c r="BH44" s="84">
        <f t="shared" si="25"/>
        <v>0</v>
      </c>
      <c r="BI44" s="94"/>
      <c r="BJ44" s="84">
        <f t="shared" si="25"/>
        <v>0</v>
      </c>
    </row>
    <row r="45" spans="1:62" s="24" customFormat="1" ht="12" x14ac:dyDescent="0.25">
      <c r="A45" s="236"/>
      <c r="B45" s="279"/>
      <c r="C45" s="67"/>
      <c r="D45" s="67"/>
      <c r="E45" s="248"/>
      <c r="F45" s="68"/>
      <c r="G45" s="69"/>
      <c r="H45" s="69"/>
      <c r="I45" s="22"/>
      <c r="J45" s="95"/>
      <c r="K45" s="96"/>
      <c r="L45" s="97"/>
      <c r="M45" s="97"/>
      <c r="O45" s="98"/>
      <c r="P45" s="99"/>
      <c r="Q45" s="98"/>
      <c r="R45" s="99"/>
      <c r="S45" s="98"/>
      <c r="T45" s="99"/>
      <c r="U45" s="98"/>
      <c r="V45" s="99"/>
      <c r="W45" s="98"/>
      <c r="X45" s="99"/>
      <c r="Y45" s="98"/>
      <c r="Z45" s="99"/>
      <c r="AA45" s="98"/>
      <c r="AB45" s="99"/>
      <c r="AC45" s="98"/>
      <c r="AD45" s="99"/>
      <c r="AE45" s="98"/>
      <c r="AF45" s="99"/>
      <c r="AG45" s="98"/>
      <c r="AH45" s="99"/>
      <c r="AI45" s="98"/>
      <c r="AJ45" s="99"/>
      <c r="AK45" s="98"/>
      <c r="AL45" s="99"/>
      <c r="AM45" s="98"/>
      <c r="AN45" s="99"/>
      <c r="AO45" s="98"/>
      <c r="AP45" s="99"/>
      <c r="AQ45" s="98"/>
      <c r="AR45" s="99"/>
      <c r="AS45" s="98"/>
      <c r="AT45" s="99"/>
      <c r="AU45" s="98"/>
      <c r="AV45" s="99"/>
      <c r="AW45" s="98"/>
      <c r="AX45" s="99"/>
      <c r="AY45" s="98"/>
      <c r="AZ45" s="99"/>
      <c r="BA45" s="98"/>
      <c r="BB45" s="99"/>
      <c r="BC45" s="98"/>
      <c r="BD45" s="99"/>
      <c r="BE45" s="98"/>
      <c r="BF45" s="99"/>
      <c r="BG45" s="98"/>
      <c r="BH45" s="99"/>
      <c r="BI45" s="98"/>
      <c r="BJ45" s="99"/>
    </row>
    <row r="46" spans="1:62" s="24" customFormat="1" ht="12" x14ac:dyDescent="0.25">
      <c r="A46" s="237" t="s">
        <v>452</v>
      </c>
      <c r="B46" s="280" t="s">
        <v>453</v>
      </c>
      <c r="C46" s="76">
        <v>1000</v>
      </c>
      <c r="D46" s="77" t="s">
        <v>858</v>
      </c>
      <c r="E46" s="246">
        <v>2.02</v>
      </c>
      <c r="F46" s="78">
        <f t="shared" si="0"/>
        <v>2020</v>
      </c>
      <c r="G46" s="79">
        <f t="shared" si="1"/>
        <v>0</v>
      </c>
      <c r="H46" s="79">
        <f t="shared" si="2"/>
        <v>0</v>
      </c>
      <c r="I46" s="22"/>
      <c r="J46" s="80">
        <f>C46-(O46+Q46+S46+U46+W46+Y46+AA46+AC46+AE46+AG46+AI46+AK46+AM46+AO46+AQ46+AS46+AU46+AW46+AY46+BA46+BC46+BE46+BG46+BI46)</f>
        <v>1000</v>
      </c>
      <c r="K46" s="81">
        <f t="shared" si="3"/>
        <v>2020</v>
      </c>
      <c r="L46" s="82">
        <f t="shared" si="4"/>
        <v>0</v>
      </c>
      <c r="M46" s="82">
        <f t="shared" si="27"/>
        <v>0</v>
      </c>
      <c r="O46" s="94"/>
      <c r="P46" s="84">
        <f>O46*E46</f>
        <v>0</v>
      </c>
      <c r="Q46" s="94"/>
      <c r="R46" s="84">
        <f t="shared" si="6"/>
        <v>0</v>
      </c>
      <c r="S46" s="94"/>
      <c r="T46" s="84">
        <f t="shared" si="7"/>
        <v>0</v>
      </c>
      <c r="U46" s="94"/>
      <c r="V46" s="84">
        <f t="shared" si="8"/>
        <v>0</v>
      </c>
      <c r="W46" s="94"/>
      <c r="X46" s="84">
        <f t="shared" si="9"/>
        <v>0</v>
      </c>
      <c r="Y46" s="94"/>
      <c r="Z46" s="84">
        <f t="shared" si="10"/>
        <v>0</v>
      </c>
      <c r="AA46" s="94"/>
      <c r="AB46" s="84">
        <f t="shared" si="11"/>
        <v>0</v>
      </c>
      <c r="AC46" s="94"/>
      <c r="AD46" s="84">
        <f t="shared" si="12"/>
        <v>0</v>
      </c>
      <c r="AE46" s="94"/>
      <c r="AF46" s="84">
        <f t="shared" si="13"/>
        <v>0</v>
      </c>
      <c r="AG46" s="94"/>
      <c r="AH46" s="84">
        <f t="shared" si="14"/>
        <v>0</v>
      </c>
      <c r="AI46" s="94"/>
      <c r="AJ46" s="84">
        <f t="shared" si="15"/>
        <v>0</v>
      </c>
      <c r="AK46" s="94"/>
      <c r="AL46" s="84">
        <f t="shared" si="15"/>
        <v>0</v>
      </c>
      <c r="AM46" s="94"/>
      <c r="AN46" s="84">
        <f>AM46*AC46</f>
        <v>0</v>
      </c>
      <c r="AO46" s="94"/>
      <c r="AP46" s="84">
        <f t="shared" si="16"/>
        <v>0</v>
      </c>
      <c r="AQ46" s="94"/>
      <c r="AR46" s="84">
        <f t="shared" si="17"/>
        <v>0</v>
      </c>
      <c r="AS46" s="94"/>
      <c r="AT46" s="84">
        <f t="shared" si="18"/>
        <v>0</v>
      </c>
      <c r="AU46" s="94"/>
      <c r="AV46" s="84">
        <f t="shared" si="19"/>
        <v>0</v>
      </c>
      <c r="AW46" s="94"/>
      <c r="AX46" s="84">
        <f t="shared" si="20"/>
        <v>0</v>
      </c>
      <c r="AY46" s="94"/>
      <c r="AZ46" s="84">
        <f t="shared" si="21"/>
        <v>0</v>
      </c>
      <c r="BA46" s="94"/>
      <c r="BB46" s="84">
        <f t="shared" si="22"/>
        <v>0</v>
      </c>
      <c r="BC46" s="94"/>
      <c r="BD46" s="84">
        <f t="shared" si="23"/>
        <v>0</v>
      </c>
      <c r="BE46" s="94"/>
      <c r="BF46" s="84">
        <f t="shared" si="24"/>
        <v>0</v>
      </c>
      <c r="BG46" s="94"/>
      <c r="BH46" s="84">
        <f t="shared" si="25"/>
        <v>0</v>
      </c>
      <c r="BI46" s="94"/>
      <c r="BJ46" s="84">
        <f t="shared" si="25"/>
        <v>0</v>
      </c>
    </row>
    <row r="47" spans="1:62" s="24" customFormat="1" ht="12" x14ac:dyDescent="0.25">
      <c r="A47" s="238" t="s">
        <v>454</v>
      </c>
      <c r="B47" s="281" t="s">
        <v>455</v>
      </c>
      <c r="C47" s="85">
        <v>6000</v>
      </c>
      <c r="D47" s="86" t="s">
        <v>858</v>
      </c>
      <c r="E47" s="247">
        <v>0.96</v>
      </c>
      <c r="F47" s="87">
        <f t="shared" si="0"/>
        <v>5760</v>
      </c>
      <c r="G47" s="88">
        <f t="shared" si="1"/>
        <v>0</v>
      </c>
      <c r="H47" s="88">
        <f t="shared" si="2"/>
        <v>0</v>
      </c>
      <c r="I47" s="22"/>
      <c r="J47" s="89">
        <f>C47-(O47+Q47+S47+U47+W47+Y47+AA47+AC47+AE47+AG47+AI47+AK47+AM47+AO47+AQ47+AS47+AU47+AW47+AY47+BA47+BC47+BE47+BG47+BI47)</f>
        <v>6000</v>
      </c>
      <c r="K47" s="90">
        <f t="shared" si="3"/>
        <v>5760</v>
      </c>
      <c r="L47" s="91">
        <f t="shared" si="4"/>
        <v>0</v>
      </c>
      <c r="M47" s="91">
        <f t="shared" si="27"/>
        <v>0</v>
      </c>
      <c r="O47" s="92"/>
      <c r="P47" s="93">
        <f>O47*E47</f>
        <v>0</v>
      </c>
      <c r="Q47" s="92"/>
      <c r="R47" s="93">
        <f t="shared" si="6"/>
        <v>0</v>
      </c>
      <c r="S47" s="92"/>
      <c r="T47" s="93">
        <f t="shared" si="7"/>
        <v>0</v>
      </c>
      <c r="U47" s="92"/>
      <c r="V47" s="93">
        <f t="shared" si="8"/>
        <v>0</v>
      </c>
      <c r="W47" s="92"/>
      <c r="X47" s="93">
        <f t="shared" si="9"/>
        <v>0</v>
      </c>
      <c r="Y47" s="92"/>
      <c r="Z47" s="93">
        <f t="shared" si="10"/>
        <v>0</v>
      </c>
      <c r="AA47" s="92"/>
      <c r="AB47" s="93">
        <f t="shared" si="11"/>
        <v>0</v>
      </c>
      <c r="AC47" s="92"/>
      <c r="AD47" s="93">
        <f t="shared" si="12"/>
        <v>0</v>
      </c>
      <c r="AE47" s="92"/>
      <c r="AF47" s="93">
        <f t="shared" si="13"/>
        <v>0</v>
      </c>
      <c r="AG47" s="92"/>
      <c r="AH47" s="93">
        <f t="shared" si="14"/>
        <v>0</v>
      </c>
      <c r="AI47" s="92"/>
      <c r="AJ47" s="93">
        <f t="shared" si="15"/>
        <v>0</v>
      </c>
      <c r="AK47" s="92"/>
      <c r="AL47" s="93">
        <f t="shared" si="15"/>
        <v>0</v>
      </c>
      <c r="AM47" s="92"/>
      <c r="AN47" s="93">
        <f>AM47*AC47</f>
        <v>0</v>
      </c>
      <c r="AO47" s="92"/>
      <c r="AP47" s="93">
        <f t="shared" si="16"/>
        <v>0</v>
      </c>
      <c r="AQ47" s="92"/>
      <c r="AR47" s="93">
        <f t="shared" si="17"/>
        <v>0</v>
      </c>
      <c r="AS47" s="92"/>
      <c r="AT47" s="93">
        <f t="shared" si="18"/>
        <v>0</v>
      </c>
      <c r="AU47" s="92"/>
      <c r="AV47" s="93">
        <f t="shared" si="19"/>
        <v>0</v>
      </c>
      <c r="AW47" s="92"/>
      <c r="AX47" s="93">
        <f t="shared" si="20"/>
        <v>0</v>
      </c>
      <c r="AY47" s="92"/>
      <c r="AZ47" s="93">
        <f t="shared" si="21"/>
        <v>0</v>
      </c>
      <c r="BA47" s="92"/>
      <c r="BB47" s="93">
        <f t="shared" si="22"/>
        <v>0</v>
      </c>
      <c r="BC47" s="92"/>
      <c r="BD47" s="93">
        <f t="shared" si="23"/>
        <v>0</v>
      </c>
      <c r="BE47" s="92"/>
      <c r="BF47" s="93">
        <f t="shared" si="24"/>
        <v>0</v>
      </c>
      <c r="BG47" s="92"/>
      <c r="BH47" s="93">
        <f t="shared" si="25"/>
        <v>0</v>
      </c>
      <c r="BI47" s="92"/>
      <c r="BJ47" s="93">
        <f t="shared" si="25"/>
        <v>0</v>
      </c>
    </row>
    <row r="48" spans="1:62" s="24" customFormat="1" ht="12" x14ac:dyDescent="0.25">
      <c r="A48" s="237" t="s">
        <v>456</v>
      </c>
      <c r="B48" s="280" t="s">
        <v>457</v>
      </c>
      <c r="C48" s="76">
        <v>300</v>
      </c>
      <c r="D48" s="77" t="s">
        <v>858</v>
      </c>
      <c r="E48" s="246">
        <v>0.77</v>
      </c>
      <c r="F48" s="78">
        <f t="shared" si="0"/>
        <v>231</v>
      </c>
      <c r="G48" s="79">
        <f t="shared" si="1"/>
        <v>0</v>
      </c>
      <c r="H48" s="79">
        <f t="shared" si="2"/>
        <v>0</v>
      </c>
      <c r="I48" s="22"/>
      <c r="J48" s="80">
        <f>C48-(O48+Q48+S48+U48+W48+Y48+AA48+AC48+AE48+AG48+AI48+AK48+AM48+AO48+AQ48+AS48+AU48+AW48+AY48+BA48+BC48+BE48+BG48+BI48)</f>
        <v>300</v>
      </c>
      <c r="K48" s="81">
        <f t="shared" si="3"/>
        <v>231</v>
      </c>
      <c r="L48" s="82">
        <f t="shared" si="4"/>
        <v>0</v>
      </c>
      <c r="M48" s="82">
        <f t="shared" si="27"/>
        <v>0</v>
      </c>
      <c r="O48" s="94"/>
      <c r="P48" s="84">
        <f>O48*E48</f>
        <v>0</v>
      </c>
      <c r="Q48" s="94"/>
      <c r="R48" s="84">
        <f t="shared" si="6"/>
        <v>0</v>
      </c>
      <c r="S48" s="94"/>
      <c r="T48" s="84">
        <f t="shared" si="7"/>
        <v>0</v>
      </c>
      <c r="U48" s="94"/>
      <c r="V48" s="84">
        <f t="shared" si="8"/>
        <v>0</v>
      </c>
      <c r="W48" s="94"/>
      <c r="X48" s="84">
        <f t="shared" si="9"/>
        <v>0</v>
      </c>
      <c r="Y48" s="94"/>
      <c r="Z48" s="84">
        <f t="shared" si="10"/>
        <v>0</v>
      </c>
      <c r="AA48" s="94"/>
      <c r="AB48" s="84">
        <f t="shared" si="11"/>
        <v>0</v>
      </c>
      <c r="AC48" s="94"/>
      <c r="AD48" s="84">
        <f t="shared" si="12"/>
        <v>0</v>
      </c>
      <c r="AE48" s="94"/>
      <c r="AF48" s="84">
        <f t="shared" si="13"/>
        <v>0</v>
      </c>
      <c r="AG48" s="94"/>
      <c r="AH48" s="84">
        <f t="shared" si="14"/>
        <v>0</v>
      </c>
      <c r="AI48" s="94"/>
      <c r="AJ48" s="84">
        <f t="shared" si="15"/>
        <v>0</v>
      </c>
      <c r="AK48" s="94"/>
      <c r="AL48" s="84">
        <f t="shared" si="15"/>
        <v>0</v>
      </c>
      <c r="AM48" s="94"/>
      <c r="AN48" s="84">
        <f>AM48*AC48</f>
        <v>0</v>
      </c>
      <c r="AO48" s="94"/>
      <c r="AP48" s="84">
        <f t="shared" si="16"/>
        <v>0</v>
      </c>
      <c r="AQ48" s="94"/>
      <c r="AR48" s="84">
        <f t="shared" si="17"/>
        <v>0</v>
      </c>
      <c r="AS48" s="94"/>
      <c r="AT48" s="84">
        <f t="shared" si="18"/>
        <v>0</v>
      </c>
      <c r="AU48" s="94"/>
      <c r="AV48" s="84">
        <f t="shared" si="19"/>
        <v>0</v>
      </c>
      <c r="AW48" s="94"/>
      <c r="AX48" s="84">
        <f t="shared" si="20"/>
        <v>0</v>
      </c>
      <c r="AY48" s="94"/>
      <c r="AZ48" s="84">
        <f t="shared" si="21"/>
        <v>0</v>
      </c>
      <c r="BA48" s="94"/>
      <c r="BB48" s="84">
        <f t="shared" si="22"/>
        <v>0</v>
      </c>
      <c r="BC48" s="94"/>
      <c r="BD48" s="84">
        <f t="shared" si="23"/>
        <v>0</v>
      </c>
      <c r="BE48" s="94"/>
      <c r="BF48" s="84">
        <f t="shared" si="24"/>
        <v>0</v>
      </c>
      <c r="BG48" s="94"/>
      <c r="BH48" s="84">
        <f t="shared" si="25"/>
        <v>0</v>
      </c>
      <c r="BI48" s="94"/>
      <c r="BJ48" s="84">
        <f t="shared" si="25"/>
        <v>0</v>
      </c>
    </row>
    <row r="49" spans="1:62" s="24" customFormat="1" ht="12" x14ac:dyDescent="0.25">
      <c r="A49" s="236"/>
      <c r="B49" s="306"/>
      <c r="C49" s="67"/>
      <c r="D49" s="67"/>
      <c r="E49" s="248"/>
      <c r="F49" s="68"/>
      <c r="G49" s="69"/>
      <c r="H49" s="69"/>
      <c r="I49" s="22"/>
      <c r="J49" s="95"/>
      <c r="K49" s="96"/>
      <c r="L49" s="97"/>
      <c r="M49" s="97"/>
      <c r="O49" s="98"/>
      <c r="P49" s="99"/>
      <c r="Q49" s="98"/>
      <c r="R49" s="99"/>
      <c r="S49" s="98"/>
      <c r="T49" s="99"/>
      <c r="U49" s="98"/>
      <c r="V49" s="99"/>
      <c r="W49" s="98"/>
      <c r="X49" s="99"/>
      <c r="Y49" s="98"/>
      <c r="Z49" s="99"/>
      <c r="AA49" s="98"/>
      <c r="AB49" s="99"/>
      <c r="AC49" s="98"/>
      <c r="AD49" s="99"/>
      <c r="AE49" s="98"/>
      <c r="AF49" s="99"/>
      <c r="AG49" s="98"/>
      <c r="AH49" s="99"/>
      <c r="AI49" s="98"/>
      <c r="AJ49" s="99"/>
      <c r="AK49" s="98"/>
      <c r="AL49" s="99"/>
      <c r="AM49" s="98"/>
      <c r="AN49" s="99"/>
      <c r="AO49" s="98"/>
      <c r="AP49" s="99"/>
      <c r="AQ49" s="98"/>
      <c r="AR49" s="99"/>
      <c r="AS49" s="98"/>
      <c r="AT49" s="99"/>
      <c r="AU49" s="98"/>
      <c r="AV49" s="99"/>
      <c r="AW49" s="98"/>
      <c r="AX49" s="99"/>
      <c r="AY49" s="98"/>
      <c r="AZ49" s="99"/>
      <c r="BA49" s="98"/>
      <c r="BB49" s="99"/>
      <c r="BC49" s="98"/>
      <c r="BD49" s="99"/>
      <c r="BE49" s="98"/>
      <c r="BF49" s="99"/>
      <c r="BG49" s="98"/>
      <c r="BH49" s="99"/>
      <c r="BI49" s="98"/>
      <c r="BJ49" s="99"/>
    </row>
    <row r="50" spans="1:62" s="24" customFormat="1" ht="12" x14ac:dyDescent="0.25">
      <c r="A50" s="237" t="s">
        <v>458</v>
      </c>
      <c r="B50" s="280" t="s">
        <v>459</v>
      </c>
      <c r="C50" s="76">
        <v>2500</v>
      </c>
      <c r="D50" s="77" t="s">
        <v>858</v>
      </c>
      <c r="E50" s="246">
        <v>1.56</v>
      </c>
      <c r="F50" s="78">
        <f t="shared" si="0"/>
        <v>3900</v>
      </c>
      <c r="G50" s="79">
        <f t="shared" si="1"/>
        <v>0</v>
      </c>
      <c r="H50" s="79">
        <f t="shared" si="2"/>
        <v>0</v>
      </c>
      <c r="I50" s="22"/>
      <c r="J50" s="80">
        <f>C50-(O50+Q50+S50+U50+W50+Y50+AA50+AC50+AE50+AG50+AI50+AK50+AM50+AO50+AQ50+AS50+AU50+AW50+AY50+BA50+BC50+BE50+BG50+BI50)</f>
        <v>2500</v>
      </c>
      <c r="K50" s="81">
        <f t="shared" si="3"/>
        <v>3900</v>
      </c>
      <c r="L50" s="82">
        <f t="shared" si="4"/>
        <v>0</v>
      </c>
      <c r="M50" s="82">
        <f t="shared" si="27"/>
        <v>0</v>
      </c>
      <c r="O50" s="94"/>
      <c r="P50" s="84">
        <f>O50*E50</f>
        <v>0</v>
      </c>
      <c r="Q50" s="94"/>
      <c r="R50" s="84">
        <f t="shared" si="6"/>
        <v>0</v>
      </c>
      <c r="S50" s="94"/>
      <c r="T50" s="84">
        <f t="shared" si="7"/>
        <v>0</v>
      </c>
      <c r="U50" s="94"/>
      <c r="V50" s="84">
        <f t="shared" si="8"/>
        <v>0</v>
      </c>
      <c r="W50" s="94"/>
      <c r="X50" s="84">
        <f t="shared" si="9"/>
        <v>0</v>
      </c>
      <c r="Y50" s="94"/>
      <c r="Z50" s="84">
        <f t="shared" si="10"/>
        <v>0</v>
      </c>
      <c r="AA50" s="94"/>
      <c r="AB50" s="84">
        <f t="shared" si="11"/>
        <v>0</v>
      </c>
      <c r="AC50" s="94"/>
      <c r="AD50" s="84">
        <f t="shared" si="12"/>
        <v>0</v>
      </c>
      <c r="AE50" s="94"/>
      <c r="AF50" s="84">
        <f t="shared" si="13"/>
        <v>0</v>
      </c>
      <c r="AG50" s="94"/>
      <c r="AH50" s="84">
        <f t="shared" si="14"/>
        <v>0</v>
      </c>
      <c r="AI50" s="94"/>
      <c r="AJ50" s="84">
        <f t="shared" si="15"/>
        <v>0</v>
      </c>
      <c r="AK50" s="94"/>
      <c r="AL50" s="84">
        <f t="shared" si="15"/>
        <v>0</v>
      </c>
      <c r="AM50" s="94"/>
      <c r="AN50" s="84">
        <f>AM50*AC50</f>
        <v>0</v>
      </c>
      <c r="AO50" s="94"/>
      <c r="AP50" s="84">
        <f t="shared" si="16"/>
        <v>0</v>
      </c>
      <c r="AQ50" s="94"/>
      <c r="AR50" s="84">
        <f t="shared" si="17"/>
        <v>0</v>
      </c>
      <c r="AS50" s="94"/>
      <c r="AT50" s="84">
        <f t="shared" si="18"/>
        <v>0</v>
      </c>
      <c r="AU50" s="94"/>
      <c r="AV50" s="84">
        <f t="shared" si="19"/>
        <v>0</v>
      </c>
      <c r="AW50" s="94"/>
      <c r="AX50" s="84">
        <f t="shared" si="20"/>
        <v>0</v>
      </c>
      <c r="AY50" s="94"/>
      <c r="AZ50" s="84">
        <f t="shared" si="21"/>
        <v>0</v>
      </c>
      <c r="BA50" s="94"/>
      <c r="BB50" s="84">
        <f t="shared" si="22"/>
        <v>0</v>
      </c>
      <c r="BC50" s="94"/>
      <c r="BD50" s="84">
        <f t="shared" si="23"/>
        <v>0</v>
      </c>
      <c r="BE50" s="94"/>
      <c r="BF50" s="84">
        <f t="shared" si="24"/>
        <v>0</v>
      </c>
      <c r="BG50" s="94"/>
      <c r="BH50" s="84">
        <f t="shared" si="25"/>
        <v>0</v>
      </c>
      <c r="BI50" s="94"/>
      <c r="BJ50" s="84">
        <f t="shared" si="25"/>
        <v>0</v>
      </c>
    </row>
    <row r="51" spans="1:62" s="24" customFormat="1" ht="12" x14ac:dyDescent="0.25">
      <c r="A51" s="238" t="s">
        <v>460</v>
      </c>
      <c r="B51" s="281" t="s">
        <v>461</v>
      </c>
      <c r="C51" s="85">
        <v>350</v>
      </c>
      <c r="D51" s="86" t="s">
        <v>858</v>
      </c>
      <c r="E51" s="247">
        <v>0.96</v>
      </c>
      <c r="F51" s="87">
        <f t="shared" si="0"/>
        <v>336</v>
      </c>
      <c r="G51" s="88">
        <f t="shared" si="1"/>
        <v>0</v>
      </c>
      <c r="H51" s="88">
        <f t="shared" si="2"/>
        <v>0</v>
      </c>
      <c r="I51" s="22"/>
      <c r="J51" s="89">
        <f>C51-(O51+Q51+S51+U51+W51+Y51+AA51+AC51+AE51+AG51+AI51+AK51+AM51+AO51+AQ51+AS51+AU51+AW51+AY51+BA51+BC51+BE51+BG51+BI51)</f>
        <v>350</v>
      </c>
      <c r="K51" s="90">
        <f t="shared" si="3"/>
        <v>336</v>
      </c>
      <c r="L51" s="91">
        <f t="shared" si="4"/>
        <v>0</v>
      </c>
      <c r="M51" s="91">
        <f t="shared" si="27"/>
        <v>0</v>
      </c>
      <c r="O51" s="92"/>
      <c r="P51" s="93">
        <f>O51*E51</f>
        <v>0</v>
      </c>
      <c r="Q51" s="92"/>
      <c r="R51" s="93">
        <f t="shared" si="6"/>
        <v>0</v>
      </c>
      <c r="S51" s="92"/>
      <c r="T51" s="93">
        <f t="shared" si="7"/>
        <v>0</v>
      </c>
      <c r="U51" s="92"/>
      <c r="V51" s="93">
        <f t="shared" si="8"/>
        <v>0</v>
      </c>
      <c r="W51" s="92"/>
      <c r="X51" s="93">
        <f t="shared" si="9"/>
        <v>0</v>
      </c>
      <c r="Y51" s="92"/>
      <c r="Z51" s="93">
        <f t="shared" si="10"/>
        <v>0</v>
      </c>
      <c r="AA51" s="92"/>
      <c r="AB51" s="93">
        <f t="shared" si="11"/>
        <v>0</v>
      </c>
      <c r="AC51" s="92"/>
      <c r="AD51" s="93">
        <f t="shared" si="12"/>
        <v>0</v>
      </c>
      <c r="AE51" s="92"/>
      <c r="AF51" s="93">
        <f t="shared" si="13"/>
        <v>0</v>
      </c>
      <c r="AG51" s="92"/>
      <c r="AH51" s="93">
        <f t="shared" si="14"/>
        <v>0</v>
      </c>
      <c r="AI51" s="92"/>
      <c r="AJ51" s="93">
        <f t="shared" si="15"/>
        <v>0</v>
      </c>
      <c r="AK51" s="92"/>
      <c r="AL51" s="93">
        <f t="shared" si="15"/>
        <v>0</v>
      </c>
      <c r="AM51" s="92"/>
      <c r="AN51" s="93">
        <f>AM51*AC51</f>
        <v>0</v>
      </c>
      <c r="AO51" s="92"/>
      <c r="AP51" s="93">
        <f t="shared" si="16"/>
        <v>0</v>
      </c>
      <c r="AQ51" s="92"/>
      <c r="AR51" s="93">
        <f t="shared" si="17"/>
        <v>0</v>
      </c>
      <c r="AS51" s="92"/>
      <c r="AT51" s="93">
        <f t="shared" si="18"/>
        <v>0</v>
      </c>
      <c r="AU51" s="92"/>
      <c r="AV51" s="93">
        <f t="shared" si="19"/>
        <v>0</v>
      </c>
      <c r="AW51" s="92"/>
      <c r="AX51" s="93">
        <f t="shared" si="20"/>
        <v>0</v>
      </c>
      <c r="AY51" s="92"/>
      <c r="AZ51" s="93">
        <f t="shared" si="21"/>
        <v>0</v>
      </c>
      <c r="BA51" s="92"/>
      <c r="BB51" s="93">
        <f t="shared" si="22"/>
        <v>0</v>
      </c>
      <c r="BC51" s="92"/>
      <c r="BD51" s="93">
        <f t="shared" si="23"/>
        <v>0</v>
      </c>
      <c r="BE51" s="92"/>
      <c r="BF51" s="93">
        <f t="shared" si="24"/>
        <v>0</v>
      </c>
      <c r="BG51" s="92"/>
      <c r="BH51" s="93">
        <f t="shared" si="25"/>
        <v>0</v>
      </c>
      <c r="BI51" s="92"/>
      <c r="BJ51" s="93">
        <f t="shared" si="25"/>
        <v>0</v>
      </c>
    </row>
    <row r="52" spans="1:62" s="24" customFormat="1" ht="12" x14ac:dyDescent="0.25">
      <c r="A52" s="237" t="s">
        <v>462</v>
      </c>
      <c r="B52" s="280" t="s">
        <v>463</v>
      </c>
      <c r="C52" s="76">
        <v>300</v>
      </c>
      <c r="D52" s="77" t="s">
        <v>858</v>
      </c>
      <c r="E52" s="246">
        <v>0.48</v>
      </c>
      <c r="F52" s="78">
        <f t="shared" si="0"/>
        <v>144</v>
      </c>
      <c r="G52" s="79">
        <f t="shared" si="1"/>
        <v>0</v>
      </c>
      <c r="H52" s="79">
        <f t="shared" si="2"/>
        <v>0</v>
      </c>
      <c r="I52" s="22"/>
      <c r="J52" s="80">
        <f>C52-(O52+Q52+S52+U52+W52+Y52+AA52+AC52+AE52+AG52+AI52+AK52+AM52+AO52+AQ52+AS52+AU52+AW52+AY52+BA52+BC52+BE52+BG52+BI52)</f>
        <v>300</v>
      </c>
      <c r="K52" s="81">
        <f t="shared" si="3"/>
        <v>144</v>
      </c>
      <c r="L52" s="82">
        <f t="shared" si="4"/>
        <v>0</v>
      </c>
      <c r="M52" s="82">
        <f t="shared" si="27"/>
        <v>0</v>
      </c>
      <c r="O52" s="94"/>
      <c r="P52" s="84">
        <f>O52*E52</f>
        <v>0</v>
      </c>
      <c r="Q52" s="94"/>
      <c r="R52" s="84">
        <f t="shared" si="6"/>
        <v>0</v>
      </c>
      <c r="S52" s="94"/>
      <c r="T52" s="84">
        <f t="shared" si="7"/>
        <v>0</v>
      </c>
      <c r="U52" s="94"/>
      <c r="V52" s="84">
        <f t="shared" si="8"/>
        <v>0</v>
      </c>
      <c r="W52" s="94"/>
      <c r="X52" s="84">
        <f t="shared" si="9"/>
        <v>0</v>
      </c>
      <c r="Y52" s="94"/>
      <c r="Z52" s="84">
        <f t="shared" si="10"/>
        <v>0</v>
      </c>
      <c r="AA52" s="94"/>
      <c r="AB52" s="84">
        <f t="shared" si="11"/>
        <v>0</v>
      </c>
      <c r="AC52" s="94"/>
      <c r="AD52" s="84">
        <f t="shared" si="12"/>
        <v>0</v>
      </c>
      <c r="AE52" s="94"/>
      <c r="AF52" s="84">
        <f t="shared" si="13"/>
        <v>0</v>
      </c>
      <c r="AG52" s="94"/>
      <c r="AH52" s="84">
        <f t="shared" si="14"/>
        <v>0</v>
      </c>
      <c r="AI52" s="94"/>
      <c r="AJ52" s="84">
        <f t="shared" si="15"/>
        <v>0</v>
      </c>
      <c r="AK52" s="94"/>
      <c r="AL52" s="84">
        <f t="shared" si="15"/>
        <v>0</v>
      </c>
      <c r="AM52" s="94"/>
      <c r="AN52" s="84">
        <f>AM52*AC52</f>
        <v>0</v>
      </c>
      <c r="AO52" s="94"/>
      <c r="AP52" s="84">
        <f t="shared" si="16"/>
        <v>0</v>
      </c>
      <c r="AQ52" s="94"/>
      <c r="AR52" s="84">
        <f t="shared" si="17"/>
        <v>0</v>
      </c>
      <c r="AS52" s="94"/>
      <c r="AT52" s="84">
        <f t="shared" si="18"/>
        <v>0</v>
      </c>
      <c r="AU52" s="94"/>
      <c r="AV52" s="84">
        <f t="shared" si="19"/>
        <v>0</v>
      </c>
      <c r="AW52" s="94"/>
      <c r="AX52" s="84">
        <f t="shared" si="20"/>
        <v>0</v>
      </c>
      <c r="AY52" s="94"/>
      <c r="AZ52" s="84">
        <f t="shared" si="21"/>
        <v>0</v>
      </c>
      <c r="BA52" s="94"/>
      <c r="BB52" s="84">
        <f t="shared" si="22"/>
        <v>0</v>
      </c>
      <c r="BC52" s="94"/>
      <c r="BD52" s="84">
        <f t="shared" si="23"/>
        <v>0</v>
      </c>
      <c r="BE52" s="94"/>
      <c r="BF52" s="84">
        <f t="shared" si="24"/>
        <v>0</v>
      </c>
      <c r="BG52" s="94"/>
      <c r="BH52" s="84">
        <f t="shared" si="25"/>
        <v>0</v>
      </c>
      <c r="BI52" s="94"/>
      <c r="BJ52" s="84">
        <f t="shared" si="25"/>
        <v>0</v>
      </c>
    </row>
    <row r="53" spans="1:62" s="24" customFormat="1" ht="12" customHeight="1" x14ac:dyDescent="0.25">
      <c r="A53" s="236"/>
      <c r="B53" s="279"/>
      <c r="C53" s="67"/>
      <c r="D53" s="67"/>
      <c r="E53" s="248"/>
      <c r="F53" s="68"/>
      <c r="G53" s="69"/>
      <c r="H53" s="69"/>
      <c r="I53" s="22"/>
      <c r="J53" s="95"/>
      <c r="K53" s="96"/>
      <c r="L53" s="97"/>
      <c r="M53" s="97"/>
      <c r="O53" s="98"/>
      <c r="P53" s="99"/>
      <c r="Q53" s="98"/>
      <c r="R53" s="99"/>
      <c r="S53" s="98"/>
      <c r="T53" s="99"/>
      <c r="U53" s="98"/>
      <c r="V53" s="99"/>
      <c r="W53" s="98"/>
      <c r="X53" s="99"/>
      <c r="Y53" s="98"/>
      <c r="Z53" s="99"/>
      <c r="AA53" s="98"/>
      <c r="AB53" s="99"/>
      <c r="AC53" s="98"/>
      <c r="AD53" s="99"/>
      <c r="AE53" s="98"/>
      <c r="AF53" s="99"/>
      <c r="AG53" s="98"/>
      <c r="AH53" s="99"/>
      <c r="AI53" s="98"/>
      <c r="AJ53" s="99"/>
      <c r="AK53" s="98"/>
      <c r="AL53" s="99"/>
      <c r="AM53" s="98"/>
      <c r="AN53" s="99"/>
      <c r="AO53" s="98"/>
      <c r="AP53" s="99"/>
      <c r="AQ53" s="98"/>
      <c r="AR53" s="99"/>
      <c r="AS53" s="98"/>
      <c r="AT53" s="99"/>
      <c r="AU53" s="98"/>
      <c r="AV53" s="99"/>
      <c r="AW53" s="98"/>
      <c r="AX53" s="99"/>
      <c r="AY53" s="98"/>
      <c r="AZ53" s="99"/>
      <c r="BA53" s="98"/>
      <c r="BB53" s="99"/>
      <c r="BC53" s="98"/>
      <c r="BD53" s="99"/>
      <c r="BE53" s="98"/>
      <c r="BF53" s="99"/>
      <c r="BG53" s="98"/>
      <c r="BH53" s="99"/>
      <c r="BI53" s="98"/>
      <c r="BJ53" s="99"/>
    </row>
    <row r="54" spans="1:62" s="24" customFormat="1" ht="12" x14ac:dyDescent="0.25">
      <c r="A54" s="237" t="s">
        <v>464</v>
      </c>
      <c r="B54" s="280" t="s">
        <v>465</v>
      </c>
      <c r="C54" s="76">
        <v>1300</v>
      </c>
      <c r="D54" s="77" t="s">
        <v>858</v>
      </c>
      <c r="E54" s="246">
        <v>1.27</v>
      </c>
      <c r="F54" s="78">
        <f t="shared" si="0"/>
        <v>1651</v>
      </c>
      <c r="G54" s="79">
        <f t="shared" si="1"/>
        <v>0</v>
      </c>
      <c r="H54" s="79">
        <f t="shared" si="2"/>
        <v>0</v>
      </c>
      <c r="I54" s="22"/>
      <c r="J54" s="80">
        <f t="shared" ref="J54:J59" si="31">C54-(O54+Q54+S54+U54+W54+Y54+AA54+AC54+AE54+AG54+AI54+AK54+AM54+AO54+AQ54+AS54+AU54+AW54+AY54+BA54+BC54+BE54+BG54+BI54)</f>
        <v>1300</v>
      </c>
      <c r="K54" s="81">
        <f t="shared" si="3"/>
        <v>1651</v>
      </c>
      <c r="L54" s="82">
        <f t="shared" si="4"/>
        <v>0</v>
      </c>
      <c r="M54" s="82">
        <f t="shared" si="27"/>
        <v>0</v>
      </c>
      <c r="O54" s="94"/>
      <c r="P54" s="84">
        <f t="shared" ref="P54:P59" si="32">O54*E54</f>
        <v>0</v>
      </c>
      <c r="Q54" s="94"/>
      <c r="R54" s="84">
        <f t="shared" si="6"/>
        <v>0</v>
      </c>
      <c r="S54" s="94"/>
      <c r="T54" s="84">
        <f t="shared" si="7"/>
        <v>0</v>
      </c>
      <c r="U54" s="94"/>
      <c r="V54" s="84">
        <f t="shared" si="8"/>
        <v>0</v>
      </c>
      <c r="W54" s="94"/>
      <c r="X54" s="84">
        <f t="shared" si="9"/>
        <v>0</v>
      </c>
      <c r="Y54" s="94"/>
      <c r="Z54" s="84">
        <f t="shared" si="10"/>
        <v>0</v>
      </c>
      <c r="AA54" s="94"/>
      <c r="AB54" s="84">
        <f t="shared" si="11"/>
        <v>0</v>
      </c>
      <c r="AC54" s="94"/>
      <c r="AD54" s="84">
        <f t="shared" si="12"/>
        <v>0</v>
      </c>
      <c r="AE54" s="94"/>
      <c r="AF54" s="84">
        <f t="shared" si="13"/>
        <v>0</v>
      </c>
      <c r="AG54" s="94"/>
      <c r="AH54" s="84">
        <f t="shared" si="14"/>
        <v>0</v>
      </c>
      <c r="AI54" s="94"/>
      <c r="AJ54" s="84">
        <f t="shared" si="15"/>
        <v>0</v>
      </c>
      <c r="AK54" s="94"/>
      <c r="AL54" s="84">
        <f t="shared" si="15"/>
        <v>0</v>
      </c>
      <c r="AM54" s="94"/>
      <c r="AN54" s="84">
        <f t="shared" ref="AN54:AN59" si="33">AM54*AC54</f>
        <v>0</v>
      </c>
      <c r="AO54" s="94"/>
      <c r="AP54" s="84">
        <f t="shared" si="16"/>
        <v>0</v>
      </c>
      <c r="AQ54" s="94"/>
      <c r="AR54" s="84">
        <f t="shared" si="17"/>
        <v>0</v>
      </c>
      <c r="AS54" s="94"/>
      <c r="AT54" s="84">
        <f t="shared" si="18"/>
        <v>0</v>
      </c>
      <c r="AU54" s="94"/>
      <c r="AV54" s="84">
        <f t="shared" si="19"/>
        <v>0</v>
      </c>
      <c r="AW54" s="94"/>
      <c r="AX54" s="84">
        <f t="shared" si="20"/>
        <v>0</v>
      </c>
      <c r="AY54" s="94"/>
      <c r="AZ54" s="84">
        <f t="shared" si="21"/>
        <v>0</v>
      </c>
      <c r="BA54" s="94"/>
      <c r="BB54" s="84">
        <f t="shared" si="22"/>
        <v>0</v>
      </c>
      <c r="BC54" s="94"/>
      <c r="BD54" s="84">
        <f t="shared" si="23"/>
        <v>0</v>
      </c>
      <c r="BE54" s="94"/>
      <c r="BF54" s="84">
        <f t="shared" si="24"/>
        <v>0</v>
      </c>
      <c r="BG54" s="94"/>
      <c r="BH54" s="84">
        <f t="shared" si="25"/>
        <v>0</v>
      </c>
      <c r="BI54" s="94"/>
      <c r="BJ54" s="84">
        <f t="shared" si="25"/>
        <v>0</v>
      </c>
    </row>
    <row r="55" spans="1:62" s="24" customFormat="1" ht="12" x14ac:dyDescent="0.25">
      <c r="A55" s="239" t="s">
        <v>466</v>
      </c>
      <c r="B55" s="282" t="s">
        <v>467</v>
      </c>
      <c r="C55" s="100">
        <v>4800</v>
      </c>
      <c r="D55" s="101" t="s">
        <v>858</v>
      </c>
      <c r="E55" s="257">
        <v>0.39</v>
      </c>
      <c r="F55" s="102">
        <f t="shared" si="0"/>
        <v>1872</v>
      </c>
      <c r="G55" s="88">
        <f t="shared" si="1"/>
        <v>0</v>
      </c>
      <c r="H55" s="88">
        <f t="shared" si="2"/>
        <v>0</v>
      </c>
      <c r="I55" s="22"/>
      <c r="J55" s="89">
        <f t="shared" si="31"/>
        <v>4800</v>
      </c>
      <c r="K55" s="90">
        <f t="shared" si="3"/>
        <v>1872</v>
      </c>
      <c r="L55" s="91">
        <f t="shared" si="4"/>
        <v>0</v>
      </c>
      <c r="M55" s="91">
        <f t="shared" si="27"/>
        <v>0</v>
      </c>
      <c r="O55" s="92"/>
      <c r="P55" s="93">
        <f t="shared" si="32"/>
        <v>0</v>
      </c>
      <c r="Q55" s="92"/>
      <c r="R55" s="93">
        <f t="shared" si="6"/>
        <v>0</v>
      </c>
      <c r="S55" s="92"/>
      <c r="T55" s="93">
        <f t="shared" si="7"/>
        <v>0</v>
      </c>
      <c r="U55" s="92"/>
      <c r="V55" s="93">
        <f t="shared" si="8"/>
        <v>0</v>
      </c>
      <c r="W55" s="92"/>
      <c r="X55" s="93">
        <f t="shared" si="9"/>
        <v>0</v>
      </c>
      <c r="Y55" s="92"/>
      <c r="Z55" s="93">
        <f t="shared" si="10"/>
        <v>0</v>
      </c>
      <c r="AA55" s="92"/>
      <c r="AB55" s="93">
        <f t="shared" si="11"/>
        <v>0</v>
      </c>
      <c r="AC55" s="92"/>
      <c r="AD55" s="93">
        <f t="shared" si="12"/>
        <v>0</v>
      </c>
      <c r="AE55" s="92"/>
      <c r="AF55" s="93">
        <f t="shared" si="13"/>
        <v>0</v>
      </c>
      <c r="AG55" s="92"/>
      <c r="AH55" s="93">
        <f t="shared" si="14"/>
        <v>0</v>
      </c>
      <c r="AI55" s="92"/>
      <c r="AJ55" s="93">
        <f t="shared" si="15"/>
        <v>0</v>
      </c>
      <c r="AK55" s="92"/>
      <c r="AL55" s="93">
        <f t="shared" si="15"/>
        <v>0</v>
      </c>
      <c r="AM55" s="92"/>
      <c r="AN55" s="93">
        <f t="shared" si="33"/>
        <v>0</v>
      </c>
      <c r="AO55" s="92"/>
      <c r="AP55" s="93">
        <f t="shared" si="16"/>
        <v>0</v>
      </c>
      <c r="AQ55" s="92"/>
      <c r="AR55" s="93">
        <f t="shared" si="17"/>
        <v>0</v>
      </c>
      <c r="AS55" s="92"/>
      <c r="AT55" s="93">
        <f t="shared" si="18"/>
        <v>0</v>
      </c>
      <c r="AU55" s="92"/>
      <c r="AV55" s="93">
        <f t="shared" si="19"/>
        <v>0</v>
      </c>
      <c r="AW55" s="92"/>
      <c r="AX55" s="93">
        <f t="shared" si="20"/>
        <v>0</v>
      </c>
      <c r="AY55" s="92"/>
      <c r="AZ55" s="93">
        <f t="shared" si="21"/>
        <v>0</v>
      </c>
      <c r="BA55" s="92"/>
      <c r="BB55" s="93">
        <f t="shared" si="22"/>
        <v>0</v>
      </c>
      <c r="BC55" s="92"/>
      <c r="BD55" s="93">
        <f t="shared" si="23"/>
        <v>0</v>
      </c>
      <c r="BE55" s="92"/>
      <c r="BF55" s="93">
        <f t="shared" si="24"/>
        <v>0</v>
      </c>
      <c r="BG55" s="92"/>
      <c r="BH55" s="93">
        <f t="shared" si="25"/>
        <v>0</v>
      </c>
      <c r="BI55" s="92"/>
      <c r="BJ55" s="93">
        <f t="shared" si="25"/>
        <v>0</v>
      </c>
    </row>
    <row r="56" spans="1:62" s="24" customFormat="1" ht="12" x14ac:dyDescent="0.25">
      <c r="A56" s="237" t="s">
        <v>468</v>
      </c>
      <c r="B56" s="280" t="s">
        <v>469</v>
      </c>
      <c r="C56" s="76">
        <v>3000</v>
      </c>
      <c r="D56" s="77" t="s">
        <v>858</v>
      </c>
      <c r="E56" s="246">
        <v>0.19</v>
      </c>
      <c r="F56" s="78">
        <f t="shared" si="0"/>
        <v>570</v>
      </c>
      <c r="G56" s="79">
        <f t="shared" si="1"/>
        <v>0</v>
      </c>
      <c r="H56" s="79">
        <f t="shared" si="2"/>
        <v>0</v>
      </c>
      <c r="I56" s="22"/>
      <c r="J56" s="80">
        <f t="shared" si="31"/>
        <v>3000</v>
      </c>
      <c r="K56" s="81">
        <f t="shared" si="3"/>
        <v>570</v>
      </c>
      <c r="L56" s="82">
        <f t="shared" si="4"/>
        <v>0</v>
      </c>
      <c r="M56" s="82">
        <f t="shared" si="27"/>
        <v>0</v>
      </c>
      <c r="O56" s="94"/>
      <c r="P56" s="84">
        <f t="shared" si="32"/>
        <v>0</v>
      </c>
      <c r="Q56" s="94"/>
      <c r="R56" s="84">
        <f t="shared" si="6"/>
        <v>0</v>
      </c>
      <c r="S56" s="94"/>
      <c r="T56" s="84">
        <f t="shared" si="7"/>
        <v>0</v>
      </c>
      <c r="U56" s="94"/>
      <c r="V56" s="84">
        <f t="shared" si="8"/>
        <v>0</v>
      </c>
      <c r="W56" s="94"/>
      <c r="X56" s="84">
        <f t="shared" si="9"/>
        <v>0</v>
      </c>
      <c r="Y56" s="94"/>
      <c r="Z56" s="84">
        <f t="shared" si="10"/>
        <v>0</v>
      </c>
      <c r="AA56" s="94"/>
      <c r="AB56" s="84">
        <f t="shared" si="11"/>
        <v>0</v>
      </c>
      <c r="AC56" s="94"/>
      <c r="AD56" s="84">
        <f t="shared" si="12"/>
        <v>0</v>
      </c>
      <c r="AE56" s="94"/>
      <c r="AF56" s="84">
        <f t="shared" si="13"/>
        <v>0</v>
      </c>
      <c r="AG56" s="94"/>
      <c r="AH56" s="84">
        <f t="shared" si="14"/>
        <v>0</v>
      </c>
      <c r="AI56" s="94"/>
      <c r="AJ56" s="84">
        <f t="shared" si="15"/>
        <v>0</v>
      </c>
      <c r="AK56" s="94"/>
      <c r="AL56" s="84">
        <f t="shared" si="15"/>
        <v>0</v>
      </c>
      <c r="AM56" s="94"/>
      <c r="AN56" s="84">
        <f t="shared" si="33"/>
        <v>0</v>
      </c>
      <c r="AO56" s="94"/>
      <c r="AP56" s="84">
        <f t="shared" si="16"/>
        <v>0</v>
      </c>
      <c r="AQ56" s="94"/>
      <c r="AR56" s="84">
        <f t="shared" si="17"/>
        <v>0</v>
      </c>
      <c r="AS56" s="94"/>
      <c r="AT56" s="84">
        <f t="shared" si="18"/>
        <v>0</v>
      </c>
      <c r="AU56" s="94"/>
      <c r="AV56" s="84">
        <f t="shared" si="19"/>
        <v>0</v>
      </c>
      <c r="AW56" s="94"/>
      <c r="AX56" s="84">
        <f t="shared" si="20"/>
        <v>0</v>
      </c>
      <c r="AY56" s="94"/>
      <c r="AZ56" s="84">
        <f t="shared" si="21"/>
        <v>0</v>
      </c>
      <c r="BA56" s="94"/>
      <c r="BB56" s="84">
        <f t="shared" si="22"/>
        <v>0</v>
      </c>
      <c r="BC56" s="94"/>
      <c r="BD56" s="84">
        <f t="shared" si="23"/>
        <v>0</v>
      </c>
      <c r="BE56" s="94"/>
      <c r="BF56" s="84">
        <f t="shared" si="24"/>
        <v>0</v>
      </c>
      <c r="BG56" s="94"/>
      <c r="BH56" s="84">
        <f t="shared" si="25"/>
        <v>0</v>
      </c>
      <c r="BI56" s="94"/>
      <c r="BJ56" s="84">
        <f t="shared" si="25"/>
        <v>0</v>
      </c>
    </row>
    <row r="57" spans="1:62" s="24" customFormat="1" ht="12" x14ac:dyDescent="0.25">
      <c r="A57" s="238" t="s">
        <v>470</v>
      </c>
      <c r="B57" s="281" t="s">
        <v>471</v>
      </c>
      <c r="C57" s="85">
        <v>2500</v>
      </c>
      <c r="D57" s="86" t="s">
        <v>858</v>
      </c>
      <c r="E57" s="247">
        <v>0.12</v>
      </c>
      <c r="F57" s="87">
        <f t="shared" si="0"/>
        <v>300</v>
      </c>
      <c r="G57" s="88">
        <f t="shared" si="1"/>
        <v>0</v>
      </c>
      <c r="H57" s="88">
        <f t="shared" si="2"/>
        <v>0</v>
      </c>
      <c r="I57" s="22"/>
      <c r="J57" s="89">
        <f t="shared" si="31"/>
        <v>2500</v>
      </c>
      <c r="K57" s="90">
        <f t="shared" si="3"/>
        <v>300</v>
      </c>
      <c r="L57" s="91">
        <f t="shared" si="4"/>
        <v>0</v>
      </c>
      <c r="M57" s="91">
        <f t="shared" si="27"/>
        <v>0</v>
      </c>
      <c r="O57" s="92"/>
      <c r="P57" s="93">
        <f t="shared" si="32"/>
        <v>0</v>
      </c>
      <c r="Q57" s="92"/>
      <c r="R57" s="93">
        <f t="shared" si="6"/>
        <v>0</v>
      </c>
      <c r="S57" s="92"/>
      <c r="T57" s="93">
        <f t="shared" si="7"/>
        <v>0</v>
      </c>
      <c r="U57" s="92"/>
      <c r="V57" s="93">
        <f t="shared" si="8"/>
        <v>0</v>
      </c>
      <c r="W57" s="92"/>
      <c r="X57" s="93">
        <f t="shared" si="9"/>
        <v>0</v>
      </c>
      <c r="Y57" s="92"/>
      <c r="Z57" s="93">
        <f t="shared" si="10"/>
        <v>0</v>
      </c>
      <c r="AA57" s="92"/>
      <c r="AB57" s="93">
        <f t="shared" si="11"/>
        <v>0</v>
      </c>
      <c r="AC57" s="92"/>
      <c r="AD57" s="93">
        <f t="shared" si="12"/>
        <v>0</v>
      </c>
      <c r="AE57" s="92"/>
      <c r="AF57" s="93">
        <f t="shared" si="13"/>
        <v>0</v>
      </c>
      <c r="AG57" s="92"/>
      <c r="AH57" s="93">
        <f t="shared" si="14"/>
        <v>0</v>
      </c>
      <c r="AI57" s="92"/>
      <c r="AJ57" s="93">
        <f t="shared" si="15"/>
        <v>0</v>
      </c>
      <c r="AK57" s="92"/>
      <c r="AL57" s="93">
        <f t="shared" si="15"/>
        <v>0</v>
      </c>
      <c r="AM57" s="92"/>
      <c r="AN57" s="93">
        <f t="shared" si="33"/>
        <v>0</v>
      </c>
      <c r="AO57" s="92"/>
      <c r="AP57" s="93">
        <f t="shared" si="16"/>
        <v>0</v>
      </c>
      <c r="AQ57" s="92"/>
      <c r="AR57" s="93">
        <f t="shared" si="17"/>
        <v>0</v>
      </c>
      <c r="AS57" s="92"/>
      <c r="AT57" s="93">
        <f t="shared" si="18"/>
        <v>0</v>
      </c>
      <c r="AU57" s="92"/>
      <c r="AV57" s="93">
        <f t="shared" si="19"/>
        <v>0</v>
      </c>
      <c r="AW57" s="92"/>
      <c r="AX57" s="93">
        <f t="shared" si="20"/>
        <v>0</v>
      </c>
      <c r="AY57" s="92"/>
      <c r="AZ57" s="93">
        <f t="shared" si="21"/>
        <v>0</v>
      </c>
      <c r="BA57" s="92"/>
      <c r="BB57" s="93">
        <f t="shared" si="22"/>
        <v>0</v>
      </c>
      <c r="BC57" s="92"/>
      <c r="BD57" s="93">
        <f t="shared" si="23"/>
        <v>0</v>
      </c>
      <c r="BE57" s="92"/>
      <c r="BF57" s="93">
        <f t="shared" si="24"/>
        <v>0</v>
      </c>
      <c r="BG57" s="92"/>
      <c r="BH57" s="93">
        <f t="shared" si="25"/>
        <v>0</v>
      </c>
      <c r="BI57" s="92"/>
      <c r="BJ57" s="93">
        <f t="shared" si="25"/>
        <v>0</v>
      </c>
    </row>
    <row r="58" spans="1:62" s="24" customFormat="1" ht="12" x14ac:dyDescent="0.25">
      <c r="A58" s="237" t="s">
        <v>472</v>
      </c>
      <c r="B58" s="280" t="s">
        <v>473</v>
      </c>
      <c r="C58" s="76">
        <v>3000</v>
      </c>
      <c r="D58" s="77" t="s">
        <v>858</v>
      </c>
      <c r="E58" s="246">
        <v>0.06</v>
      </c>
      <c r="F58" s="78">
        <f t="shared" si="0"/>
        <v>180</v>
      </c>
      <c r="G58" s="79">
        <f t="shared" si="1"/>
        <v>0</v>
      </c>
      <c r="H58" s="79">
        <f t="shared" si="2"/>
        <v>0</v>
      </c>
      <c r="I58" s="22"/>
      <c r="J58" s="80">
        <f t="shared" si="31"/>
        <v>3000</v>
      </c>
      <c r="K58" s="81">
        <f t="shared" si="3"/>
        <v>180</v>
      </c>
      <c r="L58" s="82">
        <f t="shared" si="4"/>
        <v>0</v>
      </c>
      <c r="M58" s="82">
        <f t="shared" si="27"/>
        <v>0</v>
      </c>
      <c r="O58" s="94"/>
      <c r="P58" s="84">
        <f t="shared" si="32"/>
        <v>0</v>
      </c>
      <c r="Q58" s="94"/>
      <c r="R58" s="84">
        <f t="shared" si="6"/>
        <v>0</v>
      </c>
      <c r="S58" s="94"/>
      <c r="T58" s="84">
        <f t="shared" si="7"/>
        <v>0</v>
      </c>
      <c r="U58" s="94"/>
      <c r="V58" s="84">
        <f t="shared" si="8"/>
        <v>0</v>
      </c>
      <c r="W58" s="94"/>
      <c r="X58" s="84">
        <f t="shared" si="9"/>
        <v>0</v>
      </c>
      <c r="Y58" s="94"/>
      <c r="Z58" s="84">
        <f t="shared" si="10"/>
        <v>0</v>
      </c>
      <c r="AA58" s="94"/>
      <c r="AB58" s="84">
        <f t="shared" si="11"/>
        <v>0</v>
      </c>
      <c r="AC58" s="94"/>
      <c r="AD58" s="84">
        <f t="shared" si="12"/>
        <v>0</v>
      </c>
      <c r="AE58" s="94"/>
      <c r="AF58" s="84">
        <f t="shared" si="13"/>
        <v>0</v>
      </c>
      <c r="AG58" s="94"/>
      <c r="AH58" s="84">
        <f t="shared" si="14"/>
        <v>0</v>
      </c>
      <c r="AI58" s="94"/>
      <c r="AJ58" s="84">
        <f t="shared" si="15"/>
        <v>0</v>
      </c>
      <c r="AK58" s="94"/>
      <c r="AL58" s="84">
        <f t="shared" si="15"/>
        <v>0</v>
      </c>
      <c r="AM58" s="94"/>
      <c r="AN58" s="84">
        <f t="shared" si="33"/>
        <v>0</v>
      </c>
      <c r="AO58" s="94"/>
      <c r="AP58" s="84">
        <f t="shared" si="16"/>
        <v>0</v>
      </c>
      <c r="AQ58" s="94"/>
      <c r="AR58" s="84">
        <f t="shared" si="17"/>
        <v>0</v>
      </c>
      <c r="AS58" s="94"/>
      <c r="AT58" s="84">
        <f t="shared" si="18"/>
        <v>0</v>
      </c>
      <c r="AU58" s="94"/>
      <c r="AV58" s="84">
        <f t="shared" si="19"/>
        <v>0</v>
      </c>
      <c r="AW58" s="94"/>
      <c r="AX58" s="84">
        <f t="shared" si="20"/>
        <v>0</v>
      </c>
      <c r="AY58" s="94"/>
      <c r="AZ58" s="84">
        <f t="shared" si="21"/>
        <v>0</v>
      </c>
      <c r="BA58" s="94"/>
      <c r="BB58" s="84">
        <f t="shared" si="22"/>
        <v>0</v>
      </c>
      <c r="BC58" s="94"/>
      <c r="BD58" s="84">
        <f t="shared" si="23"/>
        <v>0</v>
      </c>
      <c r="BE58" s="94"/>
      <c r="BF58" s="84">
        <f t="shared" si="24"/>
        <v>0</v>
      </c>
      <c r="BG58" s="94"/>
      <c r="BH58" s="84">
        <f t="shared" si="25"/>
        <v>0</v>
      </c>
      <c r="BI58" s="94"/>
      <c r="BJ58" s="84">
        <f t="shared" si="25"/>
        <v>0</v>
      </c>
    </row>
    <row r="59" spans="1:62" s="24" customFormat="1" ht="12" x14ac:dyDescent="0.25">
      <c r="A59" s="238" t="s">
        <v>474</v>
      </c>
      <c r="B59" s="281" t="s">
        <v>475</v>
      </c>
      <c r="C59" s="85">
        <v>12000</v>
      </c>
      <c r="D59" s="86" t="s">
        <v>858</v>
      </c>
      <c r="E59" s="247">
        <v>0.04</v>
      </c>
      <c r="F59" s="87">
        <f t="shared" si="0"/>
        <v>480</v>
      </c>
      <c r="G59" s="88">
        <f t="shared" si="1"/>
        <v>0</v>
      </c>
      <c r="H59" s="88">
        <f t="shared" si="2"/>
        <v>0</v>
      </c>
      <c r="I59" s="22"/>
      <c r="J59" s="89">
        <f t="shared" si="31"/>
        <v>12000</v>
      </c>
      <c r="K59" s="90">
        <f t="shared" si="3"/>
        <v>480</v>
      </c>
      <c r="L59" s="91">
        <f t="shared" si="4"/>
        <v>0</v>
      </c>
      <c r="M59" s="91">
        <f t="shared" si="27"/>
        <v>0</v>
      </c>
      <c r="O59" s="92"/>
      <c r="P59" s="93">
        <f t="shared" si="32"/>
        <v>0</v>
      </c>
      <c r="Q59" s="92"/>
      <c r="R59" s="93">
        <f t="shared" si="6"/>
        <v>0</v>
      </c>
      <c r="S59" s="92"/>
      <c r="T59" s="93">
        <f t="shared" si="7"/>
        <v>0</v>
      </c>
      <c r="U59" s="92"/>
      <c r="V59" s="93">
        <f t="shared" si="8"/>
        <v>0</v>
      </c>
      <c r="W59" s="92"/>
      <c r="X59" s="93">
        <f t="shared" si="9"/>
        <v>0</v>
      </c>
      <c r="Y59" s="92"/>
      <c r="Z59" s="93">
        <f t="shared" si="10"/>
        <v>0</v>
      </c>
      <c r="AA59" s="92"/>
      <c r="AB59" s="93">
        <f t="shared" si="11"/>
        <v>0</v>
      </c>
      <c r="AC59" s="92"/>
      <c r="AD59" s="93">
        <f t="shared" si="12"/>
        <v>0</v>
      </c>
      <c r="AE59" s="92"/>
      <c r="AF59" s="93">
        <f t="shared" si="13"/>
        <v>0</v>
      </c>
      <c r="AG59" s="92"/>
      <c r="AH59" s="93">
        <f t="shared" si="14"/>
        <v>0</v>
      </c>
      <c r="AI59" s="92"/>
      <c r="AJ59" s="93">
        <f t="shared" si="15"/>
        <v>0</v>
      </c>
      <c r="AK59" s="92"/>
      <c r="AL59" s="93">
        <f t="shared" si="15"/>
        <v>0</v>
      </c>
      <c r="AM59" s="92"/>
      <c r="AN59" s="93">
        <f t="shared" si="33"/>
        <v>0</v>
      </c>
      <c r="AO59" s="92"/>
      <c r="AP59" s="93">
        <f t="shared" si="16"/>
        <v>0</v>
      </c>
      <c r="AQ59" s="92"/>
      <c r="AR59" s="93">
        <f t="shared" si="17"/>
        <v>0</v>
      </c>
      <c r="AS59" s="92"/>
      <c r="AT59" s="93">
        <f t="shared" si="18"/>
        <v>0</v>
      </c>
      <c r="AU59" s="92"/>
      <c r="AV59" s="93">
        <f t="shared" si="19"/>
        <v>0</v>
      </c>
      <c r="AW59" s="92"/>
      <c r="AX59" s="93">
        <f t="shared" si="20"/>
        <v>0</v>
      </c>
      <c r="AY59" s="92"/>
      <c r="AZ59" s="93">
        <f t="shared" si="21"/>
        <v>0</v>
      </c>
      <c r="BA59" s="92"/>
      <c r="BB59" s="93">
        <f t="shared" si="22"/>
        <v>0</v>
      </c>
      <c r="BC59" s="92"/>
      <c r="BD59" s="93">
        <f t="shared" si="23"/>
        <v>0</v>
      </c>
      <c r="BE59" s="92"/>
      <c r="BF59" s="93">
        <f t="shared" si="24"/>
        <v>0</v>
      </c>
      <c r="BG59" s="92"/>
      <c r="BH59" s="93">
        <f t="shared" si="25"/>
        <v>0</v>
      </c>
      <c r="BI59" s="92"/>
      <c r="BJ59" s="93">
        <f t="shared" si="25"/>
        <v>0</v>
      </c>
    </row>
    <row r="60" spans="1:62" s="24" customFormat="1" ht="12" x14ac:dyDescent="0.25">
      <c r="A60" s="236"/>
      <c r="B60" s="306"/>
      <c r="C60" s="67"/>
      <c r="D60" s="67"/>
      <c r="E60" s="248"/>
      <c r="F60" s="68"/>
      <c r="G60" s="69"/>
      <c r="H60" s="69"/>
      <c r="I60" s="22"/>
      <c r="J60" s="95"/>
      <c r="K60" s="96"/>
      <c r="L60" s="97"/>
      <c r="M60" s="97"/>
      <c r="O60" s="98"/>
      <c r="P60" s="99"/>
      <c r="Q60" s="98"/>
      <c r="R60" s="99"/>
      <c r="S60" s="98"/>
      <c r="T60" s="99"/>
      <c r="U60" s="98"/>
      <c r="V60" s="99"/>
      <c r="W60" s="98"/>
      <c r="X60" s="99"/>
      <c r="Y60" s="98"/>
      <c r="Z60" s="99"/>
      <c r="AA60" s="98"/>
      <c r="AB60" s="99"/>
      <c r="AC60" s="98"/>
      <c r="AD60" s="99"/>
      <c r="AE60" s="98"/>
      <c r="AF60" s="99"/>
      <c r="AG60" s="98"/>
      <c r="AH60" s="99"/>
      <c r="AI60" s="98"/>
      <c r="AJ60" s="99"/>
      <c r="AK60" s="98"/>
      <c r="AL60" s="99"/>
      <c r="AM60" s="98"/>
      <c r="AN60" s="99"/>
      <c r="AO60" s="98"/>
      <c r="AP60" s="99"/>
      <c r="AQ60" s="98"/>
      <c r="AR60" s="99"/>
      <c r="AS60" s="98"/>
      <c r="AT60" s="99"/>
      <c r="AU60" s="98"/>
      <c r="AV60" s="99"/>
      <c r="AW60" s="98"/>
      <c r="AX60" s="99"/>
      <c r="AY60" s="98"/>
      <c r="AZ60" s="99"/>
      <c r="BA60" s="98"/>
      <c r="BB60" s="99"/>
      <c r="BC60" s="98"/>
      <c r="BD60" s="99"/>
      <c r="BE60" s="98"/>
      <c r="BF60" s="99"/>
      <c r="BG60" s="98"/>
      <c r="BH60" s="99"/>
      <c r="BI60" s="98"/>
      <c r="BJ60" s="99"/>
    </row>
    <row r="61" spans="1:62" s="24" customFormat="1" ht="12" x14ac:dyDescent="0.25">
      <c r="A61" s="237" t="s">
        <v>476</v>
      </c>
      <c r="B61" s="280" t="s">
        <v>477</v>
      </c>
      <c r="C61" s="76">
        <v>1000</v>
      </c>
      <c r="D61" s="77" t="s">
        <v>858</v>
      </c>
      <c r="E61" s="246">
        <v>2.4300000000000002</v>
      </c>
      <c r="F61" s="78">
        <f t="shared" si="0"/>
        <v>2430</v>
      </c>
      <c r="G61" s="79">
        <f t="shared" si="1"/>
        <v>0</v>
      </c>
      <c r="H61" s="79">
        <f t="shared" si="2"/>
        <v>0</v>
      </c>
      <c r="I61" s="22"/>
      <c r="J61" s="80">
        <f t="shared" ref="J61:J66" si="34">C61-(O61+Q61+S61+U61+W61+Y61+AA61+AC61+AE61+AG61+AI61+AK61+AM61+AO61+AQ61+AS61+AU61+AW61+AY61+BA61+BC61+BE61+BG61+BI61)</f>
        <v>1000</v>
      </c>
      <c r="K61" s="81">
        <f t="shared" si="3"/>
        <v>2430</v>
      </c>
      <c r="L61" s="82">
        <f t="shared" si="4"/>
        <v>0</v>
      </c>
      <c r="M61" s="82">
        <f t="shared" si="27"/>
        <v>0</v>
      </c>
      <c r="O61" s="94"/>
      <c r="P61" s="84">
        <f t="shared" ref="P61:P66" si="35">O61*E61</f>
        <v>0</v>
      </c>
      <c r="Q61" s="94"/>
      <c r="R61" s="84">
        <f t="shared" si="6"/>
        <v>0</v>
      </c>
      <c r="S61" s="94"/>
      <c r="T61" s="84">
        <f t="shared" si="7"/>
        <v>0</v>
      </c>
      <c r="U61" s="94"/>
      <c r="V61" s="84">
        <f t="shared" si="8"/>
        <v>0</v>
      </c>
      <c r="W61" s="94"/>
      <c r="X61" s="84">
        <f t="shared" si="9"/>
        <v>0</v>
      </c>
      <c r="Y61" s="94"/>
      <c r="Z61" s="84">
        <f t="shared" si="10"/>
        <v>0</v>
      </c>
      <c r="AA61" s="94"/>
      <c r="AB61" s="84">
        <f t="shared" si="11"/>
        <v>0</v>
      </c>
      <c r="AC61" s="94"/>
      <c r="AD61" s="84">
        <f t="shared" si="12"/>
        <v>0</v>
      </c>
      <c r="AE61" s="94"/>
      <c r="AF61" s="84">
        <f t="shared" si="13"/>
        <v>0</v>
      </c>
      <c r="AG61" s="94"/>
      <c r="AH61" s="84">
        <f t="shared" si="14"/>
        <v>0</v>
      </c>
      <c r="AI61" s="94"/>
      <c r="AJ61" s="84">
        <f t="shared" si="15"/>
        <v>0</v>
      </c>
      <c r="AK61" s="94"/>
      <c r="AL61" s="84">
        <f t="shared" si="15"/>
        <v>0</v>
      </c>
      <c r="AM61" s="94"/>
      <c r="AN61" s="84">
        <f t="shared" ref="AN61:AN66" si="36">AM61*AC61</f>
        <v>0</v>
      </c>
      <c r="AO61" s="94"/>
      <c r="AP61" s="84">
        <f t="shared" si="16"/>
        <v>0</v>
      </c>
      <c r="AQ61" s="94"/>
      <c r="AR61" s="84">
        <f t="shared" si="17"/>
        <v>0</v>
      </c>
      <c r="AS61" s="94"/>
      <c r="AT61" s="84">
        <f t="shared" si="18"/>
        <v>0</v>
      </c>
      <c r="AU61" s="94"/>
      <c r="AV61" s="84">
        <f t="shared" si="19"/>
        <v>0</v>
      </c>
      <c r="AW61" s="94"/>
      <c r="AX61" s="84">
        <f t="shared" si="20"/>
        <v>0</v>
      </c>
      <c r="AY61" s="94"/>
      <c r="AZ61" s="84">
        <f t="shared" si="21"/>
        <v>0</v>
      </c>
      <c r="BA61" s="94"/>
      <c r="BB61" s="84">
        <f t="shared" si="22"/>
        <v>0</v>
      </c>
      <c r="BC61" s="94"/>
      <c r="BD61" s="84">
        <f t="shared" si="23"/>
        <v>0</v>
      </c>
      <c r="BE61" s="94"/>
      <c r="BF61" s="84">
        <f t="shared" si="24"/>
        <v>0</v>
      </c>
      <c r="BG61" s="94"/>
      <c r="BH61" s="84">
        <f t="shared" si="25"/>
        <v>0</v>
      </c>
      <c r="BI61" s="94"/>
      <c r="BJ61" s="84">
        <f t="shared" si="25"/>
        <v>0</v>
      </c>
    </row>
    <row r="62" spans="1:62" s="24" customFormat="1" ht="12" x14ac:dyDescent="0.25">
      <c r="A62" s="238" t="s">
        <v>478</v>
      </c>
      <c r="B62" s="281" t="s">
        <v>479</v>
      </c>
      <c r="C62" s="85">
        <v>3000</v>
      </c>
      <c r="D62" s="86" t="s">
        <v>858</v>
      </c>
      <c r="E62" s="247">
        <v>1.3</v>
      </c>
      <c r="F62" s="87">
        <f t="shared" si="0"/>
        <v>3900</v>
      </c>
      <c r="G62" s="88">
        <f t="shared" si="1"/>
        <v>0</v>
      </c>
      <c r="H62" s="88">
        <f t="shared" si="2"/>
        <v>0</v>
      </c>
      <c r="I62" s="22"/>
      <c r="J62" s="89">
        <f t="shared" si="34"/>
        <v>3000</v>
      </c>
      <c r="K62" s="90">
        <f t="shared" si="3"/>
        <v>3900</v>
      </c>
      <c r="L62" s="91">
        <f t="shared" si="4"/>
        <v>0</v>
      </c>
      <c r="M62" s="91">
        <f t="shared" si="27"/>
        <v>0</v>
      </c>
      <c r="O62" s="92"/>
      <c r="P62" s="93">
        <f t="shared" si="35"/>
        <v>0</v>
      </c>
      <c r="Q62" s="92"/>
      <c r="R62" s="93">
        <f t="shared" si="6"/>
        <v>0</v>
      </c>
      <c r="S62" s="92"/>
      <c r="T62" s="93">
        <f t="shared" si="7"/>
        <v>0</v>
      </c>
      <c r="U62" s="92"/>
      <c r="V62" s="93">
        <f t="shared" si="8"/>
        <v>0</v>
      </c>
      <c r="W62" s="92"/>
      <c r="X62" s="93">
        <f t="shared" si="9"/>
        <v>0</v>
      </c>
      <c r="Y62" s="92"/>
      <c r="Z62" s="93">
        <f t="shared" si="10"/>
        <v>0</v>
      </c>
      <c r="AA62" s="92"/>
      <c r="AB62" s="93">
        <f t="shared" si="11"/>
        <v>0</v>
      </c>
      <c r="AC62" s="92"/>
      <c r="AD62" s="93">
        <f t="shared" si="12"/>
        <v>0</v>
      </c>
      <c r="AE62" s="92"/>
      <c r="AF62" s="93">
        <f t="shared" si="13"/>
        <v>0</v>
      </c>
      <c r="AG62" s="92"/>
      <c r="AH62" s="93">
        <f t="shared" si="14"/>
        <v>0</v>
      </c>
      <c r="AI62" s="92"/>
      <c r="AJ62" s="93">
        <f t="shared" si="15"/>
        <v>0</v>
      </c>
      <c r="AK62" s="92"/>
      <c r="AL62" s="93">
        <f t="shared" si="15"/>
        <v>0</v>
      </c>
      <c r="AM62" s="92"/>
      <c r="AN62" s="93">
        <f t="shared" si="36"/>
        <v>0</v>
      </c>
      <c r="AO62" s="92"/>
      <c r="AP62" s="93">
        <f t="shared" si="16"/>
        <v>0</v>
      </c>
      <c r="AQ62" s="92"/>
      <c r="AR62" s="93">
        <f t="shared" si="17"/>
        <v>0</v>
      </c>
      <c r="AS62" s="92"/>
      <c r="AT62" s="93">
        <f t="shared" si="18"/>
        <v>0</v>
      </c>
      <c r="AU62" s="92"/>
      <c r="AV62" s="93">
        <f t="shared" si="19"/>
        <v>0</v>
      </c>
      <c r="AW62" s="92"/>
      <c r="AX62" s="93">
        <f t="shared" si="20"/>
        <v>0</v>
      </c>
      <c r="AY62" s="92"/>
      <c r="AZ62" s="93">
        <f t="shared" si="21"/>
        <v>0</v>
      </c>
      <c r="BA62" s="92"/>
      <c r="BB62" s="93">
        <f t="shared" si="22"/>
        <v>0</v>
      </c>
      <c r="BC62" s="92"/>
      <c r="BD62" s="93">
        <f t="shared" si="23"/>
        <v>0</v>
      </c>
      <c r="BE62" s="92"/>
      <c r="BF62" s="93">
        <f t="shared" si="24"/>
        <v>0</v>
      </c>
      <c r="BG62" s="92"/>
      <c r="BH62" s="93">
        <f t="shared" si="25"/>
        <v>0</v>
      </c>
      <c r="BI62" s="92"/>
      <c r="BJ62" s="93">
        <f t="shared" si="25"/>
        <v>0</v>
      </c>
    </row>
    <row r="63" spans="1:62" s="24" customFormat="1" ht="12" x14ac:dyDescent="0.25">
      <c r="A63" s="237" t="s">
        <v>480</v>
      </c>
      <c r="B63" s="280" t="s">
        <v>481</v>
      </c>
      <c r="C63" s="76">
        <v>3000</v>
      </c>
      <c r="D63" s="77" t="s">
        <v>858</v>
      </c>
      <c r="E63" s="246">
        <v>0.77</v>
      </c>
      <c r="F63" s="78">
        <f t="shared" si="0"/>
        <v>2310</v>
      </c>
      <c r="G63" s="79">
        <f t="shared" si="1"/>
        <v>0</v>
      </c>
      <c r="H63" s="79">
        <f t="shared" si="2"/>
        <v>0</v>
      </c>
      <c r="I63" s="22"/>
      <c r="J63" s="80">
        <f t="shared" si="34"/>
        <v>3000</v>
      </c>
      <c r="K63" s="81">
        <f t="shared" si="3"/>
        <v>2310</v>
      </c>
      <c r="L63" s="82">
        <f t="shared" si="4"/>
        <v>0</v>
      </c>
      <c r="M63" s="82">
        <f t="shared" si="27"/>
        <v>0</v>
      </c>
      <c r="O63" s="94"/>
      <c r="P63" s="84">
        <f t="shared" si="35"/>
        <v>0</v>
      </c>
      <c r="Q63" s="94"/>
      <c r="R63" s="84">
        <f t="shared" si="6"/>
        <v>0</v>
      </c>
      <c r="S63" s="94"/>
      <c r="T63" s="84">
        <f t="shared" si="7"/>
        <v>0</v>
      </c>
      <c r="U63" s="94"/>
      <c r="V63" s="84">
        <f t="shared" si="8"/>
        <v>0</v>
      </c>
      <c r="W63" s="94"/>
      <c r="X63" s="84">
        <f t="shared" si="9"/>
        <v>0</v>
      </c>
      <c r="Y63" s="94"/>
      <c r="Z63" s="84">
        <f t="shared" si="10"/>
        <v>0</v>
      </c>
      <c r="AA63" s="94"/>
      <c r="AB63" s="84">
        <f t="shared" si="11"/>
        <v>0</v>
      </c>
      <c r="AC63" s="94"/>
      <c r="AD63" s="84">
        <f t="shared" si="12"/>
        <v>0</v>
      </c>
      <c r="AE63" s="94"/>
      <c r="AF63" s="84">
        <f t="shared" si="13"/>
        <v>0</v>
      </c>
      <c r="AG63" s="94"/>
      <c r="AH63" s="84">
        <f t="shared" si="14"/>
        <v>0</v>
      </c>
      <c r="AI63" s="94"/>
      <c r="AJ63" s="84">
        <f t="shared" si="15"/>
        <v>0</v>
      </c>
      <c r="AK63" s="94"/>
      <c r="AL63" s="84">
        <f t="shared" si="15"/>
        <v>0</v>
      </c>
      <c r="AM63" s="94"/>
      <c r="AN63" s="84">
        <f t="shared" si="36"/>
        <v>0</v>
      </c>
      <c r="AO63" s="94"/>
      <c r="AP63" s="84">
        <f t="shared" si="16"/>
        <v>0</v>
      </c>
      <c r="AQ63" s="94"/>
      <c r="AR63" s="84">
        <f t="shared" si="17"/>
        <v>0</v>
      </c>
      <c r="AS63" s="94"/>
      <c r="AT63" s="84">
        <f t="shared" si="18"/>
        <v>0</v>
      </c>
      <c r="AU63" s="94"/>
      <c r="AV63" s="84">
        <f t="shared" si="19"/>
        <v>0</v>
      </c>
      <c r="AW63" s="94"/>
      <c r="AX63" s="84">
        <f t="shared" si="20"/>
        <v>0</v>
      </c>
      <c r="AY63" s="94"/>
      <c r="AZ63" s="84">
        <f t="shared" si="21"/>
        <v>0</v>
      </c>
      <c r="BA63" s="94"/>
      <c r="BB63" s="84">
        <f t="shared" si="22"/>
        <v>0</v>
      </c>
      <c r="BC63" s="94"/>
      <c r="BD63" s="84">
        <f t="shared" si="23"/>
        <v>0</v>
      </c>
      <c r="BE63" s="94"/>
      <c r="BF63" s="84">
        <f t="shared" si="24"/>
        <v>0</v>
      </c>
      <c r="BG63" s="94"/>
      <c r="BH63" s="84">
        <f t="shared" si="25"/>
        <v>0</v>
      </c>
      <c r="BI63" s="94"/>
      <c r="BJ63" s="84">
        <f t="shared" si="25"/>
        <v>0</v>
      </c>
    </row>
    <row r="64" spans="1:62" s="24" customFormat="1" ht="12" x14ac:dyDescent="0.25">
      <c r="A64" s="238" t="s">
        <v>482</v>
      </c>
      <c r="B64" s="281" t="s">
        <v>483</v>
      </c>
      <c r="C64" s="85">
        <v>3000</v>
      </c>
      <c r="D64" s="86" t="s">
        <v>858</v>
      </c>
      <c r="E64" s="247">
        <v>0.39</v>
      </c>
      <c r="F64" s="87">
        <f t="shared" si="0"/>
        <v>1170</v>
      </c>
      <c r="G64" s="88">
        <f t="shared" si="1"/>
        <v>0</v>
      </c>
      <c r="H64" s="88">
        <f t="shared" si="2"/>
        <v>0</v>
      </c>
      <c r="I64" s="22"/>
      <c r="J64" s="89">
        <f t="shared" si="34"/>
        <v>3000</v>
      </c>
      <c r="K64" s="90">
        <f t="shared" si="3"/>
        <v>1170</v>
      </c>
      <c r="L64" s="91">
        <f t="shared" si="4"/>
        <v>0</v>
      </c>
      <c r="M64" s="91">
        <f t="shared" si="27"/>
        <v>0</v>
      </c>
      <c r="O64" s="92"/>
      <c r="P64" s="93">
        <f t="shared" si="35"/>
        <v>0</v>
      </c>
      <c r="Q64" s="92"/>
      <c r="R64" s="93">
        <f t="shared" si="6"/>
        <v>0</v>
      </c>
      <c r="S64" s="92"/>
      <c r="T64" s="93">
        <f t="shared" si="7"/>
        <v>0</v>
      </c>
      <c r="U64" s="92"/>
      <c r="V64" s="93">
        <f t="shared" si="8"/>
        <v>0</v>
      </c>
      <c r="W64" s="92"/>
      <c r="X64" s="93">
        <f t="shared" si="9"/>
        <v>0</v>
      </c>
      <c r="Y64" s="92"/>
      <c r="Z64" s="93">
        <f t="shared" si="10"/>
        <v>0</v>
      </c>
      <c r="AA64" s="92"/>
      <c r="AB64" s="93">
        <f t="shared" si="11"/>
        <v>0</v>
      </c>
      <c r="AC64" s="92"/>
      <c r="AD64" s="93">
        <f t="shared" si="12"/>
        <v>0</v>
      </c>
      <c r="AE64" s="92"/>
      <c r="AF64" s="93">
        <f t="shared" si="13"/>
        <v>0</v>
      </c>
      <c r="AG64" s="92"/>
      <c r="AH64" s="93">
        <f t="shared" si="14"/>
        <v>0</v>
      </c>
      <c r="AI64" s="92"/>
      <c r="AJ64" s="93">
        <f t="shared" si="15"/>
        <v>0</v>
      </c>
      <c r="AK64" s="92"/>
      <c r="AL64" s="93">
        <f t="shared" si="15"/>
        <v>0</v>
      </c>
      <c r="AM64" s="92"/>
      <c r="AN64" s="93">
        <f t="shared" si="36"/>
        <v>0</v>
      </c>
      <c r="AO64" s="92"/>
      <c r="AP64" s="93">
        <f t="shared" si="16"/>
        <v>0</v>
      </c>
      <c r="AQ64" s="92"/>
      <c r="AR64" s="93">
        <f t="shared" si="17"/>
        <v>0</v>
      </c>
      <c r="AS64" s="92"/>
      <c r="AT64" s="93">
        <f t="shared" si="18"/>
        <v>0</v>
      </c>
      <c r="AU64" s="92"/>
      <c r="AV64" s="93">
        <f t="shared" si="19"/>
        <v>0</v>
      </c>
      <c r="AW64" s="92"/>
      <c r="AX64" s="93">
        <f t="shared" si="20"/>
        <v>0</v>
      </c>
      <c r="AY64" s="92"/>
      <c r="AZ64" s="93">
        <f t="shared" si="21"/>
        <v>0</v>
      </c>
      <c r="BA64" s="92"/>
      <c r="BB64" s="93">
        <f t="shared" si="22"/>
        <v>0</v>
      </c>
      <c r="BC64" s="92"/>
      <c r="BD64" s="93">
        <f t="shared" si="23"/>
        <v>0</v>
      </c>
      <c r="BE64" s="92"/>
      <c r="BF64" s="93">
        <f t="shared" si="24"/>
        <v>0</v>
      </c>
      <c r="BG64" s="92"/>
      <c r="BH64" s="93">
        <f t="shared" si="25"/>
        <v>0</v>
      </c>
      <c r="BI64" s="92"/>
      <c r="BJ64" s="93">
        <f t="shared" si="25"/>
        <v>0</v>
      </c>
    </row>
    <row r="65" spans="1:62" s="24" customFormat="1" ht="12" x14ac:dyDescent="0.25">
      <c r="A65" s="237" t="s">
        <v>484</v>
      </c>
      <c r="B65" s="280" t="s">
        <v>485</v>
      </c>
      <c r="C65" s="76">
        <v>3000</v>
      </c>
      <c r="D65" s="77" t="s">
        <v>858</v>
      </c>
      <c r="E65" s="246">
        <v>0.19</v>
      </c>
      <c r="F65" s="78">
        <f t="shared" si="0"/>
        <v>570</v>
      </c>
      <c r="G65" s="79">
        <f t="shared" si="1"/>
        <v>0</v>
      </c>
      <c r="H65" s="79">
        <f t="shared" si="2"/>
        <v>0</v>
      </c>
      <c r="I65" s="22"/>
      <c r="J65" s="80">
        <f t="shared" si="34"/>
        <v>3000</v>
      </c>
      <c r="K65" s="81">
        <f t="shared" si="3"/>
        <v>570</v>
      </c>
      <c r="L65" s="82">
        <f t="shared" si="4"/>
        <v>0</v>
      </c>
      <c r="M65" s="82">
        <f t="shared" si="27"/>
        <v>0</v>
      </c>
      <c r="O65" s="94"/>
      <c r="P65" s="84">
        <f t="shared" si="35"/>
        <v>0</v>
      </c>
      <c r="Q65" s="94"/>
      <c r="R65" s="84">
        <f t="shared" si="6"/>
        <v>0</v>
      </c>
      <c r="S65" s="94"/>
      <c r="T65" s="84">
        <f t="shared" si="7"/>
        <v>0</v>
      </c>
      <c r="U65" s="94"/>
      <c r="V65" s="84">
        <f t="shared" si="8"/>
        <v>0</v>
      </c>
      <c r="W65" s="94"/>
      <c r="X65" s="84">
        <f t="shared" si="9"/>
        <v>0</v>
      </c>
      <c r="Y65" s="94"/>
      <c r="Z65" s="84">
        <f t="shared" si="10"/>
        <v>0</v>
      </c>
      <c r="AA65" s="94"/>
      <c r="AB65" s="84">
        <f t="shared" si="11"/>
        <v>0</v>
      </c>
      <c r="AC65" s="94"/>
      <c r="AD65" s="84">
        <f t="shared" si="12"/>
        <v>0</v>
      </c>
      <c r="AE65" s="94"/>
      <c r="AF65" s="84">
        <f t="shared" si="13"/>
        <v>0</v>
      </c>
      <c r="AG65" s="94"/>
      <c r="AH65" s="84">
        <f t="shared" si="14"/>
        <v>0</v>
      </c>
      <c r="AI65" s="94"/>
      <c r="AJ65" s="84">
        <f t="shared" si="15"/>
        <v>0</v>
      </c>
      <c r="AK65" s="94"/>
      <c r="AL65" s="84">
        <f t="shared" si="15"/>
        <v>0</v>
      </c>
      <c r="AM65" s="94"/>
      <c r="AN65" s="84">
        <f t="shared" si="36"/>
        <v>0</v>
      </c>
      <c r="AO65" s="94"/>
      <c r="AP65" s="84">
        <f t="shared" si="16"/>
        <v>0</v>
      </c>
      <c r="AQ65" s="94"/>
      <c r="AR65" s="84">
        <f t="shared" si="17"/>
        <v>0</v>
      </c>
      <c r="AS65" s="94"/>
      <c r="AT65" s="84">
        <f t="shared" si="18"/>
        <v>0</v>
      </c>
      <c r="AU65" s="94"/>
      <c r="AV65" s="84">
        <f t="shared" si="19"/>
        <v>0</v>
      </c>
      <c r="AW65" s="94"/>
      <c r="AX65" s="84">
        <f t="shared" si="20"/>
        <v>0</v>
      </c>
      <c r="AY65" s="94"/>
      <c r="AZ65" s="84">
        <f t="shared" si="21"/>
        <v>0</v>
      </c>
      <c r="BA65" s="94"/>
      <c r="BB65" s="84">
        <f t="shared" si="22"/>
        <v>0</v>
      </c>
      <c r="BC65" s="94"/>
      <c r="BD65" s="84">
        <f t="shared" si="23"/>
        <v>0</v>
      </c>
      <c r="BE65" s="94"/>
      <c r="BF65" s="84">
        <f t="shared" si="24"/>
        <v>0</v>
      </c>
      <c r="BG65" s="94"/>
      <c r="BH65" s="84">
        <f t="shared" si="25"/>
        <v>0</v>
      </c>
      <c r="BI65" s="94"/>
      <c r="BJ65" s="84">
        <f t="shared" si="25"/>
        <v>0</v>
      </c>
    </row>
    <row r="66" spans="1:62" s="24" customFormat="1" ht="12" x14ac:dyDescent="0.25">
      <c r="A66" s="238" t="s">
        <v>486</v>
      </c>
      <c r="B66" s="281" t="s">
        <v>487</v>
      </c>
      <c r="C66" s="85">
        <v>3000</v>
      </c>
      <c r="D66" s="86" t="s">
        <v>858</v>
      </c>
      <c r="E66" s="247">
        <v>0.12</v>
      </c>
      <c r="F66" s="87">
        <f t="shared" si="0"/>
        <v>360</v>
      </c>
      <c r="G66" s="88">
        <f t="shared" si="1"/>
        <v>0</v>
      </c>
      <c r="H66" s="88">
        <f t="shared" si="2"/>
        <v>0</v>
      </c>
      <c r="I66" s="22"/>
      <c r="J66" s="89">
        <f t="shared" si="34"/>
        <v>3000</v>
      </c>
      <c r="K66" s="90">
        <f t="shared" si="3"/>
        <v>360</v>
      </c>
      <c r="L66" s="91">
        <f t="shared" si="4"/>
        <v>0</v>
      </c>
      <c r="M66" s="91">
        <f t="shared" si="27"/>
        <v>0</v>
      </c>
      <c r="O66" s="92"/>
      <c r="P66" s="93">
        <f t="shared" si="35"/>
        <v>0</v>
      </c>
      <c r="Q66" s="92"/>
      <c r="R66" s="93">
        <f t="shared" si="6"/>
        <v>0</v>
      </c>
      <c r="S66" s="92"/>
      <c r="T66" s="93">
        <f t="shared" si="7"/>
        <v>0</v>
      </c>
      <c r="U66" s="92"/>
      <c r="V66" s="93">
        <f t="shared" si="8"/>
        <v>0</v>
      </c>
      <c r="W66" s="92"/>
      <c r="X66" s="93">
        <f t="shared" si="9"/>
        <v>0</v>
      </c>
      <c r="Y66" s="92"/>
      <c r="Z66" s="93">
        <f t="shared" si="10"/>
        <v>0</v>
      </c>
      <c r="AA66" s="92"/>
      <c r="AB66" s="93">
        <f t="shared" si="11"/>
        <v>0</v>
      </c>
      <c r="AC66" s="92"/>
      <c r="AD66" s="93">
        <f t="shared" si="12"/>
        <v>0</v>
      </c>
      <c r="AE66" s="92"/>
      <c r="AF66" s="93">
        <f t="shared" si="13"/>
        <v>0</v>
      </c>
      <c r="AG66" s="92"/>
      <c r="AH66" s="93">
        <f t="shared" si="14"/>
        <v>0</v>
      </c>
      <c r="AI66" s="92"/>
      <c r="AJ66" s="93">
        <f t="shared" si="15"/>
        <v>0</v>
      </c>
      <c r="AK66" s="92"/>
      <c r="AL66" s="93">
        <f t="shared" si="15"/>
        <v>0</v>
      </c>
      <c r="AM66" s="92"/>
      <c r="AN66" s="93">
        <f t="shared" si="36"/>
        <v>0</v>
      </c>
      <c r="AO66" s="92"/>
      <c r="AP66" s="93">
        <f t="shared" si="16"/>
        <v>0</v>
      </c>
      <c r="AQ66" s="92"/>
      <c r="AR66" s="93">
        <f t="shared" si="17"/>
        <v>0</v>
      </c>
      <c r="AS66" s="92"/>
      <c r="AT66" s="93">
        <f t="shared" si="18"/>
        <v>0</v>
      </c>
      <c r="AU66" s="92"/>
      <c r="AV66" s="93">
        <f t="shared" si="19"/>
        <v>0</v>
      </c>
      <c r="AW66" s="92"/>
      <c r="AX66" s="93">
        <f t="shared" si="20"/>
        <v>0</v>
      </c>
      <c r="AY66" s="92"/>
      <c r="AZ66" s="93">
        <f t="shared" si="21"/>
        <v>0</v>
      </c>
      <c r="BA66" s="92"/>
      <c r="BB66" s="93">
        <f t="shared" si="22"/>
        <v>0</v>
      </c>
      <c r="BC66" s="92"/>
      <c r="BD66" s="93">
        <f t="shared" si="23"/>
        <v>0</v>
      </c>
      <c r="BE66" s="92"/>
      <c r="BF66" s="93">
        <f t="shared" si="24"/>
        <v>0</v>
      </c>
      <c r="BG66" s="92"/>
      <c r="BH66" s="93">
        <f t="shared" si="25"/>
        <v>0</v>
      </c>
      <c r="BI66" s="92"/>
      <c r="BJ66" s="93">
        <f t="shared" si="25"/>
        <v>0</v>
      </c>
    </row>
    <row r="67" spans="1:62" s="24" customFormat="1" ht="12" x14ac:dyDescent="0.25">
      <c r="A67" s="236"/>
      <c r="B67" s="306"/>
      <c r="C67" s="67"/>
      <c r="D67" s="67"/>
      <c r="E67" s="248"/>
      <c r="F67" s="68"/>
      <c r="G67" s="69"/>
      <c r="H67" s="69"/>
      <c r="I67" s="22"/>
      <c r="J67" s="95"/>
      <c r="K67" s="96"/>
      <c r="L67" s="97"/>
      <c r="M67" s="97"/>
      <c r="O67" s="98"/>
      <c r="P67" s="99"/>
      <c r="Q67" s="98"/>
      <c r="R67" s="99"/>
      <c r="S67" s="98"/>
      <c r="T67" s="99"/>
      <c r="U67" s="98"/>
      <c r="V67" s="99"/>
      <c r="W67" s="98"/>
      <c r="X67" s="99"/>
      <c r="Y67" s="98"/>
      <c r="Z67" s="99"/>
      <c r="AA67" s="98"/>
      <c r="AB67" s="99"/>
      <c r="AC67" s="98"/>
      <c r="AD67" s="99"/>
      <c r="AE67" s="98"/>
      <c r="AF67" s="99"/>
      <c r="AG67" s="98"/>
      <c r="AH67" s="99"/>
      <c r="AI67" s="98"/>
      <c r="AJ67" s="99"/>
      <c r="AK67" s="98"/>
      <c r="AL67" s="99"/>
      <c r="AM67" s="98"/>
      <c r="AN67" s="99"/>
      <c r="AO67" s="98"/>
      <c r="AP67" s="99"/>
      <c r="AQ67" s="98"/>
      <c r="AR67" s="99"/>
      <c r="AS67" s="98"/>
      <c r="AT67" s="99"/>
      <c r="AU67" s="98"/>
      <c r="AV67" s="99"/>
      <c r="AW67" s="98"/>
      <c r="AX67" s="99"/>
      <c r="AY67" s="98"/>
      <c r="AZ67" s="99"/>
      <c r="BA67" s="98"/>
      <c r="BB67" s="99"/>
      <c r="BC67" s="98"/>
      <c r="BD67" s="99"/>
      <c r="BE67" s="98"/>
      <c r="BF67" s="99"/>
      <c r="BG67" s="98"/>
      <c r="BH67" s="99"/>
      <c r="BI67" s="98"/>
      <c r="BJ67" s="99"/>
    </row>
    <row r="68" spans="1:62" s="24" customFormat="1" ht="12" x14ac:dyDescent="0.25">
      <c r="A68" s="237" t="s">
        <v>488</v>
      </c>
      <c r="B68" s="280" t="s">
        <v>489</v>
      </c>
      <c r="C68" s="76">
        <v>1000</v>
      </c>
      <c r="D68" s="77" t="s">
        <v>858</v>
      </c>
      <c r="E68" s="246">
        <v>1.59</v>
      </c>
      <c r="F68" s="78">
        <f t="shared" si="0"/>
        <v>1590</v>
      </c>
      <c r="G68" s="79">
        <f t="shared" si="1"/>
        <v>0</v>
      </c>
      <c r="H68" s="79">
        <f t="shared" si="2"/>
        <v>0</v>
      </c>
      <c r="I68" s="22"/>
      <c r="J68" s="80">
        <f>C68-(O68+Q68+S68+U68+W68+Y68+AA68+AC68+AE68+AG68+AI68+AK68+AM68+AO68+AQ68+AS68+AU68+AW68+AY68+BA68+BC68+BE68+BG68+BI68)</f>
        <v>1000</v>
      </c>
      <c r="K68" s="81">
        <f t="shared" si="3"/>
        <v>1590</v>
      </c>
      <c r="L68" s="82">
        <f t="shared" si="4"/>
        <v>0</v>
      </c>
      <c r="M68" s="82">
        <f t="shared" si="27"/>
        <v>0</v>
      </c>
      <c r="O68" s="94"/>
      <c r="P68" s="84">
        <f>O68*E68</f>
        <v>0</v>
      </c>
      <c r="Q68" s="94"/>
      <c r="R68" s="84">
        <f t="shared" si="6"/>
        <v>0</v>
      </c>
      <c r="S68" s="94"/>
      <c r="T68" s="84">
        <f t="shared" si="7"/>
        <v>0</v>
      </c>
      <c r="U68" s="94"/>
      <c r="V68" s="84">
        <f t="shared" si="8"/>
        <v>0</v>
      </c>
      <c r="W68" s="94"/>
      <c r="X68" s="84">
        <f t="shared" si="9"/>
        <v>0</v>
      </c>
      <c r="Y68" s="94"/>
      <c r="Z68" s="84">
        <f t="shared" si="10"/>
        <v>0</v>
      </c>
      <c r="AA68" s="94"/>
      <c r="AB68" s="84">
        <f t="shared" si="11"/>
        <v>0</v>
      </c>
      <c r="AC68" s="94"/>
      <c r="AD68" s="84">
        <f t="shared" si="12"/>
        <v>0</v>
      </c>
      <c r="AE68" s="94"/>
      <c r="AF68" s="84">
        <f t="shared" si="13"/>
        <v>0</v>
      </c>
      <c r="AG68" s="94"/>
      <c r="AH68" s="84">
        <f t="shared" si="14"/>
        <v>0</v>
      </c>
      <c r="AI68" s="94"/>
      <c r="AJ68" s="84">
        <f t="shared" si="15"/>
        <v>0</v>
      </c>
      <c r="AK68" s="94"/>
      <c r="AL68" s="84">
        <f t="shared" si="15"/>
        <v>0</v>
      </c>
      <c r="AM68" s="94"/>
      <c r="AN68" s="84">
        <f>AM68*AC68</f>
        <v>0</v>
      </c>
      <c r="AO68" s="94"/>
      <c r="AP68" s="84">
        <f t="shared" si="16"/>
        <v>0</v>
      </c>
      <c r="AQ68" s="94"/>
      <c r="AR68" s="84">
        <f t="shared" si="17"/>
        <v>0</v>
      </c>
      <c r="AS68" s="94"/>
      <c r="AT68" s="84">
        <f t="shared" si="18"/>
        <v>0</v>
      </c>
      <c r="AU68" s="94"/>
      <c r="AV68" s="84">
        <f t="shared" si="19"/>
        <v>0</v>
      </c>
      <c r="AW68" s="94"/>
      <c r="AX68" s="84">
        <f t="shared" si="20"/>
        <v>0</v>
      </c>
      <c r="AY68" s="94"/>
      <c r="AZ68" s="84">
        <f t="shared" si="21"/>
        <v>0</v>
      </c>
      <c r="BA68" s="94"/>
      <c r="BB68" s="84">
        <f t="shared" si="22"/>
        <v>0</v>
      </c>
      <c r="BC68" s="94"/>
      <c r="BD68" s="84">
        <f t="shared" si="23"/>
        <v>0</v>
      </c>
      <c r="BE68" s="94"/>
      <c r="BF68" s="84">
        <f t="shared" si="24"/>
        <v>0</v>
      </c>
      <c r="BG68" s="94"/>
      <c r="BH68" s="84">
        <f t="shared" si="25"/>
        <v>0</v>
      </c>
      <c r="BI68" s="94"/>
      <c r="BJ68" s="84">
        <f t="shared" si="25"/>
        <v>0</v>
      </c>
    </row>
    <row r="69" spans="1:62" s="24" customFormat="1" ht="12" x14ac:dyDescent="0.25">
      <c r="A69" s="238" t="s">
        <v>490</v>
      </c>
      <c r="B69" s="281" t="s">
        <v>491</v>
      </c>
      <c r="C69" s="85">
        <v>1000</v>
      </c>
      <c r="D69" s="86" t="s">
        <v>858</v>
      </c>
      <c r="E69" s="247">
        <v>0.28999999999999998</v>
      </c>
      <c r="F69" s="87">
        <f t="shared" si="0"/>
        <v>290</v>
      </c>
      <c r="G69" s="88">
        <f t="shared" si="1"/>
        <v>0</v>
      </c>
      <c r="H69" s="88">
        <f t="shared" si="2"/>
        <v>0</v>
      </c>
      <c r="I69" s="22"/>
      <c r="J69" s="89">
        <f>C69-(O69+Q69+S69+U69+W69+Y69+AA69+AC69+AE69+AG69+AI69+AK69+AM69+AO69+AQ69+AS69+AU69+AW69+AY69+BA69+BC69+BE69+BG69+BI69)</f>
        <v>1000</v>
      </c>
      <c r="K69" s="90">
        <f t="shared" si="3"/>
        <v>290</v>
      </c>
      <c r="L69" s="91">
        <f t="shared" si="4"/>
        <v>0</v>
      </c>
      <c r="M69" s="91">
        <f t="shared" si="27"/>
        <v>0</v>
      </c>
      <c r="O69" s="92"/>
      <c r="P69" s="93">
        <f>O69*E69</f>
        <v>0</v>
      </c>
      <c r="Q69" s="92"/>
      <c r="R69" s="93">
        <f t="shared" si="6"/>
        <v>0</v>
      </c>
      <c r="S69" s="92"/>
      <c r="T69" s="93">
        <f t="shared" si="7"/>
        <v>0</v>
      </c>
      <c r="U69" s="92"/>
      <c r="V69" s="93">
        <f t="shared" si="8"/>
        <v>0</v>
      </c>
      <c r="W69" s="92"/>
      <c r="X69" s="93">
        <f t="shared" si="9"/>
        <v>0</v>
      </c>
      <c r="Y69" s="92"/>
      <c r="Z69" s="93">
        <f t="shared" si="10"/>
        <v>0</v>
      </c>
      <c r="AA69" s="92"/>
      <c r="AB69" s="93">
        <f t="shared" si="11"/>
        <v>0</v>
      </c>
      <c r="AC69" s="92"/>
      <c r="AD69" s="93">
        <f t="shared" si="12"/>
        <v>0</v>
      </c>
      <c r="AE69" s="92"/>
      <c r="AF69" s="93">
        <f t="shared" si="13"/>
        <v>0</v>
      </c>
      <c r="AG69" s="92"/>
      <c r="AH69" s="93">
        <f t="shared" si="14"/>
        <v>0</v>
      </c>
      <c r="AI69" s="92"/>
      <c r="AJ69" s="93">
        <f t="shared" si="15"/>
        <v>0</v>
      </c>
      <c r="AK69" s="92"/>
      <c r="AL69" s="93">
        <f t="shared" si="15"/>
        <v>0</v>
      </c>
      <c r="AM69" s="92"/>
      <c r="AN69" s="93">
        <f>AM69*AC69</f>
        <v>0</v>
      </c>
      <c r="AO69" s="92"/>
      <c r="AP69" s="93">
        <f t="shared" si="16"/>
        <v>0</v>
      </c>
      <c r="AQ69" s="92"/>
      <c r="AR69" s="93">
        <f t="shared" si="17"/>
        <v>0</v>
      </c>
      <c r="AS69" s="92"/>
      <c r="AT69" s="93">
        <f t="shared" si="18"/>
        <v>0</v>
      </c>
      <c r="AU69" s="92"/>
      <c r="AV69" s="93">
        <f t="shared" si="19"/>
        <v>0</v>
      </c>
      <c r="AW69" s="92"/>
      <c r="AX69" s="93">
        <f t="shared" si="20"/>
        <v>0</v>
      </c>
      <c r="AY69" s="92"/>
      <c r="AZ69" s="93">
        <f t="shared" si="21"/>
        <v>0</v>
      </c>
      <c r="BA69" s="92"/>
      <c r="BB69" s="93">
        <f t="shared" si="22"/>
        <v>0</v>
      </c>
      <c r="BC69" s="92"/>
      <c r="BD69" s="93">
        <f t="shared" si="23"/>
        <v>0</v>
      </c>
      <c r="BE69" s="92"/>
      <c r="BF69" s="93">
        <f t="shared" si="24"/>
        <v>0</v>
      </c>
      <c r="BG69" s="92"/>
      <c r="BH69" s="93">
        <f t="shared" si="25"/>
        <v>0</v>
      </c>
      <c r="BI69" s="92"/>
      <c r="BJ69" s="93">
        <f t="shared" si="25"/>
        <v>0</v>
      </c>
    </row>
    <row r="70" spans="1:62" s="24" customFormat="1" ht="12" x14ac:dyDescent="0.25">
      <c r="A70" s="237" t="s">
        <v>492</v>
      </c>
      <c r="B70" s="280" t="s">
        <v>493</v>
      </c>
      <c r="C70" s="76">
        <v>1600</v>
      </c>
      <c r="D70" s="77" t="s">
        <v>858</v>
      </c>
      <c r="E70" s="246">
        <v>0.24</v>
      </c>
      <c r="F70" s="78">
        <f t="shared" si="0"/>
        <v>384</v>
      </c>
      <c r="G70" s="79">
        <f t="shared" si="1"/>
        <v>0</v>
      </c>
      <c r="H70" s="79">
        <f t="shared" si="2"/>
        <v>0</v>
      </c>
      <c r="I70" s="22"/>
      <c r="J70" s="80">
        <f>C70-(O70+Q70+S70+U70+W70+Y70+AA70+AC70+AE70+AG70+AI70+AK70+AM70+AO70+AQ70+AS70+AU70+AW70+AY70+BA70+BC70+BE70+BG70+BI70)</f>
        <v>1600</v>
      </c>
      <c r="K70" s="81">
        <f t="shared" si="3"/>
        <v>384</v>
      </c>
      <c r="L70" s="82">
        <f t="shared" si="4"/>
        <v>0</v>
      </c>
      <c r="M70" s="82">
        <f t="shared" si="27"/>
        <v>0</v>
      </c>
      <c r="O70" s="94"/>
      <c r="P70" s="84">
        <f>O70*E70</f>
        <v>0</v>
      </c>
      <c r="Q70" s="94"/>
      <c r="R70" s="84">
        <f t="shared" si="6"/>
        <v>0</v>
      </c>
      <c r="S70" s="94"/>
      <c r="T70" s="84">
        <f t="shared" si="7"/>
        <v>0</v>
      </c>
      <c r="U70" s="94"/>
      <c r="V70" s="84">
        <f t="shared" si="8"/>
        <v>0</v>
      </c>
      <c r="W70" s="94"/>
      <c r="X70" s="84">
        <f t="shared" si="9"/>
        <v>0</v>
      </c>
      <c r="Y70" s="94"/>
      <c r="Z70" s="84">
        <f t="shared" si="10"/>
        <v>0</v>
      </c>
      <c r="AA70" s="94"/>
      <c r="AB70" s="84">
        <f t="shared" si="11"/>
        <v>0</v>
      </c>
      <c r="AC70" s="94"/>
      <c r="AD70" s="84">
        <f t="shared" si="12"/>
        <v>0</v>
      </c>
      <c r="AE70" s="94"/>
      <c r="AF70" s="84">
        <f t="shared" si="13"/>
        <v>0</v>
      </c>
      <c r="AG70" s="94"/>
      <c r="AH70" s="84">
        <f t="shared" si="14"/>
        <v>0</v>
      </c>
      <c r="AI70" s="94"/>
      <c r="AJ70" s="84">
        <f t="shared" si="15"/>
        <v>0</v>
      </c>
      <c r="AK70" s="94"/>
      <c r="AL70" s="84">
        <f t="shared" si="15"/>
        <v>0</v>
      </c>
      <c r="AM70" s="94"/>
      <c r="AN70" s="84">
        <f>AM70*AC70</f>
        <v>0</v>
      </c>
      <c r="AO70" s="94"/>
      <c r="AP70" s="84">
        <f t="shared" si="16"/>
        <v>0</v>
      </c>
      <c r="AQ70" s="94"/>
      <c r="AR70" s="84">
        <f t="shared" si="17"/>
        <v>0</v>
      </c>
      <c r="AS70" s="94"/>
      <c r="AT70" s="84">
        <f t="shared" si="18"/>
        <v>0</v>
      </c>
      <c r="AU70" s="94"/>
      <c r="AV70" s="84">
        <f t="shared" si="19"/>
        <v>0</v>
      </c>
      <c r="AW70" s="94"/>
      <c r="AX70" s="84">
        <f t="shared" si="20"/>
        <v>0</v>
      </c>
      <c r="AY70" s="94"/>
      <c r="AZ70" s="84">
        <f t="shared" si="21"/>
        <v>0</v>
      </c>
      <c r="BA70" s="94"/>
      <c r="BB70" s="84">
        <f t="shared" si="22"/>
        <v>0</v>
      </c>
      <c r="BC70" s="94"/>
      <c r="BD70" s="84">
        <f t="shared" si="23"/>
        <v>0</v>
      </c>
      <c r="BE70" s="94"/>
      <c r="BF70" s="84">
        <f t="shared" si="24"/>
        <v>0</v>
      </c>
      <c r="BG70" s="94"/>
      <c r="BH70" s="84">
        <f t="shared" si="25"/>
        <v>0</v>
      </c>
      <c r="BI70" s="94"/>
      <c r="BJ70" s="84">
        <f t="shared" si="25"/>
        <v>0</v>
      </c>
    </row>
    <row r="71" spans="1:62" s="24" customFormat="1" ht="12" customHeight="1" x14ac:dyDescent="0.25">
      <c r="A71" s="236"/>
      <c r="B71" s="306"/>
      <c r="C71" s="67"/>
      <c r="D71" s="67"/>
      <c r="E71" s="248"/>
      <c r="F71" s="68"/>
      <c r="G71" s="69"/>
      <c r="H71" s="69"/>
      <c r="I71" s="22"/>
      <c r="J71" s="95"/>
      <c r="K71" s="96"/>
      <c r="L71" s="97"/>
      <c r="M71" s="97"/>
      <c r="O71" s="98"/>
      <c r="P71" s="99"/>
      <c r="Q71" s="98"/>
      <c r="R71" s="99"/>
      <c r="S71" s="98"/>
      <c r="T71" s="99"/>
      <c r="U71" s="98"/>
      <c r="V71" s="99"/>
      <c r="W71" s="98"/>
      <c r="X71" s="99"/>
      <c r="Y71" s="98"/>
      <c r="Z71" s="99"/>
      <c r="AA71" s="98"/>
      <c r="AB71" s="99"/>
      <c r="AC71" s="98"/>
      <c r="AD71" s="99"/>
      <c r="AE71" s="98"/>
      <c r="AF71" s="99"/>
      <c r="AG71" s="98"/>
      <c r="AH71" s="99"/>
      <c r="AI71" s="98"/>
      <c r="AJ71" s="99"/>
      <c r="AK71" s="98"/>
      <c r="AL71" s="99"/>
      <c r="AM71" s="98"/>
      <c r="AN71" s="99"/>
      <c r="AO71" s="98"/>
      <c r="AP71" s="99"/>
      <c r="AQ71" s="98"/>
      <c r="AR71" s="99"/>
      <c r="AS71" s="98"/>
      <c r="AT71" s="99"/>
      <c r="AU71" s="98"/>
      <c r="AV71" s="99"/>
      <c r="AW71" s="98"/>
      <c r="AX71" s="99"/>
      <c r="AY71" s="98"/>
      <c r="AZ71" s="99"/>
      <c r="BA71" s="98"/>
      <c r="BB71" s="99"/>
      <c r="BC71" s="98"/>
      <c r="BD71" s="99"/>
      <c r="BE71" s="98"/>
      <c r="BF71" s="99"/>
      <c r="BG71" s="98"/>
      <c r="BH71" s="99"/>
      <c r="BI71" s="98"/>
      <c r="BJ71" s="99"/>
    </row>
    <row r="72" spans="1:62" s="24" customFormat="1" ht="12" x14ac:dyDescent="0.25">
      <c r="A72" s="237" t="s">
        <v>494</v>
      </c>
      <c r="B72" s="280" t="s">
        <v>495</v>
      </c>
      <c r="C72" s="76">
        <v>3000</v>
      </c>
      <c r="D72" s="77" t="s">
        <v>858</v>
      </c>
      <c r="E72" s="246">
        <v>0.6</v>
      </c>
      <c r="F72" s="78">
        <f t="shared" si="0"/>
        <v>1800</v>
      </c>
      <c r="G72" s="79">
        <f t="shared" si="1"/>
        <v>0</v>
      </c>
      <c r="H72" s="79">
        <f t="shared" si="2"/>
        <v>0</v>
      </c>
      <c r="I72" s="22"/>
      <c r="J72" s="80">
        <f>C72-(O72+Q72+S72+U72+W72+Y72+AA72+AC72+AE72+AG72+AI72+AK72+AM72+AO72+AQ72+AS72+AU72+AW72+AY72+BA72+BC72+BE72+BG72+BI72)</f>
        <v>3000</v>
      </c>
      <c r="K72" s="81">
        <f t="shared" si="3"/>
        <v>1800</v>
      </c>
      <c r="L72" s="82">
        <f t="shared" si="4"/>
        <v>0</v>
      </c>
      <c r="M72" s="82">
        <f t="shared" si="27"/>
        <v>0</v>
      </c>
      <c r="O72" s="94"/>
      <c r="P72" s="84">
        <f>O72*E72</f>
        <v>0</v>
      </c>
      <c r="Q72" s="94"/>
      <c r="R72" s="84">
        <f t="shared" si="6"/>
        <v>0</v>
      </c>
      <c r="S72" s="94"/>
      <c r="T72" s="84">
        <f t="shared" si="7"/>
        <v>0</v>
      </c>
      <c r="U72" s="94"/>
      <c r="V72" s="84">
        <f t="shared" si="8"/>
        <v>0</v>
      </c>
      <c r="W72" s="94"/>
      <c r="X72" s="84">
        <f t="shared" si="9"/>
        <v>0</v>
      </c>
      <c r="Y72" s="94"/>
      <c r="Z72" s="84">
        <f t="shared" si="10"/>
        <v>0</v>
      </c>
      <c r="AA72" s="94"/>
      <c r="AB72" s="84">
        <f t="shared" si="11"/>
        <v>0</v>
      </c>
      <c r="AC72" s="94"/>
      <c r="AD72" s="84">
        <f t="shared" si="12"/>
        <v>0</v>
      </c>
      <c r="AE72" s="94"/>
      <c r="AF72" s="84">
        <f t="shared" si="13"/>
        <v>0</v>
      </c>
      <c r="AG72" s="94"/>
      <c r="AH72" s="84">
        <f t="shared" si="14"/>
        <v>0</v>
      </c>
      <c r="AI72" s="94"/>
      <c r="AJ72" s="84">
        <f t="shared" si="15"/>
        <v>0</v>
      </c>
      <c r="AK72" s="94"/>
      <c r="AL72" s="84">
        <f t="shared" si="15"/>
        <v>0</v>
      </c>
      <c r="AM72" s="94"/>
      <c r="AN72" s="84">
        <f>AM72*AC72</f>
        <v>0</v>
      </c>
      <c r="AO72" s="94"/>
      <c r="AP72" s="84">
        <f t="shared" si="16"/>
        <v>0</v>
      </c>
      <c r="AQ72" s="94"/>
      <c r="AR72" s="84">
        <f t="shared" si="17"/>
        <v>0</v>
      </c>
      <c r="AS72" s="94"/>
      <c r="AT72" s="84">
        <f t="shared" si="18"/>
        <v>0</v>
      </c>
      <c r="AU72" s="94"/>
      <c r="AV72" s="84">
        <f t="shared" si="19"/>
        <v>0</v>
      </c>
      <c r="AW72" s="94"/>
      <c r="AX72" s="84">
        <f t="shared" si="20"/>
        <v>0</v>
      </c>
      <c r="AY72" s="94"/>
      <c r="AZ72" s="84">
        <f t="shared" si="21"/>
        <v>0</v>
      </c>
      <c r="BA72" s="94"/>
      <c r="BB72" s="84">
        <f t="shared" si="22"/>
        <v>0</v>
      </c>
      <c r="BC72" s="94"/>
      <c r="BD72" s="84">
        <f t="shared" si="23"/>
        <v>0</v>
      </c>
      <c r="BE72" s="94"/>
      <c r="BF72" s="84">
        <f t="shared" si="24"/>
        <v>0</v>
      </c>
      <c r="BG72" s="94"/>
      <c r="BH72" s="84">
        <f t="shared" si="25"/>
        <v>0</v>
      </c>
      <c r="BI72" s="94"/>
      <c r="BJ72" s="84">
        <f t="shared" si="25"/>
        <v>0</v>
      </c>
    </row>
    <row r="73" spans="1:62" s="24" customFormat="1" ht="12" x14ac:dyDescent="0.25">
      <c r="A73" s="238" t="s">
        <v>496</v>
      </c>
      <c r="B73" s="281" t="s">
        <v>497</v>
      </c>
      <c r="C73" s="85">
        <v>1600</v>
      </c>
      <c r="D73" s="86" t="s">
        <v>858</v>
      </c>
      <c r="E73" s="247">
        <v>0.28999999999999998</v>
      </c>
      <c r="F73" s="87">
        <f t="shared" si="0"/>
        <v>464</v>
      </c>
      <c r="G73" s="88">
        <f t="shared" si="1"/>
        <v>0</v>
      </c>
      <c r="H73" s="88">
        <f t="shared" si="2"/>
        <v>0</v>
      </c>
      <c r="I73" s="22"/>
      <c r="J73" s="89">
        <f>C73-(O73+Q73+S73+U73+W73+Y73+AA73+AC73+AE73+AG73+AI73+AK73+AM73+AO73+AQ73+AS73+AU73+AW73+AY73+BA73+BC73+BE73+BG73+BI73)</f>
        <v>1600</v>
      </c>
      <c r="K73" s="90">
        <f t="shared" si="3"/>
        <v>463.99999999999994</v>
      </c>
      <c r="L73" s="91">
        <f t="shared" si="4"/>
        <v>0</v>
      </c>
      <c r="M73" s="91">
        <f t="shared" si="27"/>
        <v>0</v>
      </c>
      <c r="O73" s="92"/>
      <c r="P73" s="93">
        <f>O73*E73</f>
        <v>0</v>
      </c>
      <c r="Q73" s="92"/>
      <c r="R73" s="93">
        <f t="shared" si="6"/>
        <v>0</v>
      </c>
      <c r="S73" s="92"/>
      <c r="T73" s="93">
        <f t="shared" si="7"/>
        <v>0</v>
      </c>
      <c r="U73" s="92"/>
      <c r="V73" s="93">
        <f t="shared" si="8"/>
        <v>0</v>
      </c>
      <c r="W73" s="92"/>
      <c r="X73" s="93">
        <f t="shared" si="9"/>
        <v>0</v>
      </c>
      <c r="Y73" s="92"/>
      <c r="Z73" s="93">
        <f t="shared" si="10"/>
        <v>0</v>
      </c>
      <c r="AA73" s="92"/>
      <c r="AB73" s="93">
        <f t="shared" si="11"/>
        <v>0</v>
      </c>
      <c r="AC73" s="92"/>
      <c r="AD73" s="93">
        <f t="shared" si="12"/>
        <v>0</v>
      </c>
      <c r="AE73" s="92"/>
      <c r="AF73" s="93">
        <f t="shared" si="13"/>
        <v>0</v>
      </c>
      <c r="AG73" s="92"/>
      <c r="AH73" s="93">
        <f t="shared" si="14"/>
        <v>0</v>
      </c>
      <c r="AI73" s="92"/>
      <c r="AJ73" s="93">
        <f t="shared" si="15"/>
        <v>0</v>
      </c>
      <c r="AK73" s="92"/>
      <c r="AL73" s="93">
        <f t="shared" si="15"/>
        <v>0</v>
      </c>
      <c r="AM73" s="92"/>
      <c r="AN73" s="93">
        <f>AM73*AC73</f>
        <v>0</v>
      </c>
      <c r="AO73" s="92"/>
      <c r="AP73" s="93">
        <f t="shared" si="16"/>
        <v>0</v>
      </c>
      <c r="AQ73" s="92"/>
      <c r="AR73" s="93">
        <f t="shared" si="17"/>
        <v>0</v>
      </c>
      <c r="AS73" s="92"/>
      <c r="AT73" s="93">
        <f t="shared" si="18"/>
        <v>0</v>
      </c>
      <c r="AU73" s="92"/>
      <c r="AV73" s="93">
        <f t="shared" si="19"/>
        <v>0</v>
      </c>
      <c r="AW73" s="92"/>
      <c r="AX73" s="93">
        <f t="shared" si="20"/>
        <v>0</v>
      </c>
      <c r="AY73" s="92"/>
      <c r="AZ73" s="93">
        <f t="shared" si="21"/>
        <v>0</v>
      </c>
      <c r="BA73" s="92"/>
      <c r="BB73" s="93">
        <f t="shared" si="22"/>
        <v>0</v>
      </c>
      <c r="BC73" s="92"/>
      <c r="BD73" s="93">
        <f t="shared" si="23"/>
        <v>0</v>
      </c>
      <c r="BE73" s="92"/>
      <c r="BF73" s="93">
        <f t="shared" si="24"/>
        <v>0</v>
      </c>
      <c r="BG73" s="92"/>
      <c r="BH73" s="93">
        <f t="shared" si="25"/>
        <v>0</v>
      </c>
      <c r="BI73" s="92"/>
      <c r="BJ73" s="93">
        <f t="shared" si="25"/>
        <v>0</v>
      </c>
    </row>
    <row r="74" spans="1:62" s="24" customFormat="1" ht="12" x14ac:dyDescent="0.25">
      <c r="A74" s="237" t="s">
        <v>498</v>
      </c>
      <c r="B74" s="280" t="s">
        <v>499</v>
      </c>
      <c r="C74" s="76">
        <v>10000</v>
      </c>
      <c r="D74" s="77" t="s">
        <v>858</v>
      </c>
      <c r="E74" s="246">
        <v>0.19</v>
      </c>
      <c r="F74" s="78">
        <f t="shared" ref="F74:F136" si="37">ROUND(($C74*E74),2)</f>
        <v>1900</v>
      </c>
      <c r="G74" s="79">
        <f t="shared" ref="G74:G136" si="38">E74*$G$6</f>
        <v>0</v>
      </c>
      <c r="H74" s="79">
        <f t="shared" ref="H74:H136" si="39">E74*$H$6</f>
        <v>0</v>
      </c>
      <c r="I74" s="22"/>
      <c r="J74" s="80">
        <f>C74-(O74+Q74+S74+U74+W74+Y74+AA74+AC74+AE74+AG74+AI74+AK74+AM74+AO74+AQ74+AS74+AU74+AW74+AY74+BA74+BC74+BE74+BG74+BI74)</f>
        <v>10000</v>
      </c>
      <c r="K74" s="81">
        <f t="shared" ref="K74:K136" si="40">J74*E74</f>
        <v>1900</v>
      </c>
      <c r="L74" s="82">
        <f t="shared" ref="L74:L136" si="41">J74*G74</f>
        <v>0</v>
      </c>
      <c r="M74" s="82">
        <f t="shared" si="27"/>
        <v>0</v>
      </c>
      <c r="O74" s="94"/>
      <c r="P74" s="84">
        <f>O74*E74</f>
        <v>0</v>
      </c>
      <c r="Q74" s="94"/>
      <c r="R74" s="84">
        <f t="shared" ref="R74:R136" si="42">Q74*$E74</f>
        <v>0</v>
      </c>
      <c r="S74" s="94"/>
      <c r="T74" s="84">
        <f t="shared" ref="T74:T136" si="43">S74*$E74</f>
        <v>0</v>
      </c>
      <c r="U74" s="94"/>
      <c r="V74" s="84">
        <f t="shared" ref="V74:V136" si="44">U74*$E74</f>
        <v>0</v>
      </c>
      <c r="W74" s="94"/>
      <c r="X74" s="84">
        <f t="shared" ref="X74:X136" si="45">W74*$E74</f>
        <v>0</v>
      </c>
      <c r="Y74" s="94"/>
      <c r="Z74" s="84">
        <f t="shared" ref="Z74:Z136" si="46">Y74*$E74</f>
        <v>0</v>
      </c>
      <c r="AA74" s="94"/>
      <c r="AB74" s="84">
        <f t="shared" ref="AB74:AB136" si="47">AA74*$E74</f>
        <v>0</v>
      </c>
      <c r="AC74" s="94"/>
      <c r="AD74" s="84">
        <f t="shared" ref="AD74:AD136" si="48">AC74*$E74</f>
        <v>0</v>
      </c>
      <c r="AE74" s="94"/>
      <c r="AF74" s="84">
        <f t="shared" ref="AF74:AF136" si="49">AE74*$E74</f>
        <v>0</v>
      </c>
      <c r="AG74" s="94"/>
      <c r="AH74" s="84">
        <f t="shared" ref="AH74:AH136" si="50">AG74*$E74</f>
        <v>0</v>
      </c>
      <c r="AI74" s="94"/>
      <c r="AJ74" s="84">
        <f t="shared" ref="AJ74:AL136" si="51">AI74*$E74</f>
        <v>0</v>
      </c>
      <c r="AK74" s="94"/>
      <c r="AL74" s="84">
        <f t="shared" si="51"/>
        <v>0</v>
      </c>
      <c r="AM74" s="94"/>
      <c r="AN74" s="84">
        <f>AM74*AC74</f>
        <v>0</v>
      </c>
      <c r="AO74" s="94"/>
      <c r="AP74" s="84">
        <f t="shared" ref="AP74:AP136" si="52">AO74*$E74</f>
        <v>0</v>
      </c>
      <c r="AQ74" s="94"/>
      <c r="AR74" s="84">
        <f t="shared" ref="AR74:AR136" si="53">AQ74*$E74</f>
        <v>0</v>
      </c>
      <c r="AS74" s="94"/>
      <c r="AT74" s="84">
        <f t="shared" ref="AT74:AT136" si="54">AS74*$E74</f>
        <v>0</v>
      </c>
      <c r="AU74" s="94"/>
      <c r="AV74" s="84">
        <f t="shared" ref="AV74:AV136" si="55">AU74*$E74</f>
        <v>0</v>
      </c>
      <c r="AW74" s="94"/>
      <c r="AX74" s="84">
        <f t="shared" ref="AX74:AX136" si="56">AW74*$E74</f>
        <v>0</v>
      </c>
      <c r="AY74" s="94"/>
      <c r="AZ74" s="84">
        <f t="shared" ref="AZ74:AZ136" si="57">AY74*$E74</f>
        <v>0</v>
      </c>
      <c r="BA74" s="94"/>
      <c r="BB74" s="84">
        <f t="shared" ref="BB74:BB136" si="58">BA74*$E74</f>
        <v>0</v>
      </c>
      <c r="BC74" s="94"/>
      <c r="BD74" s="84">
        <f t="shared" ref="BD74:BD136" si="59">BC74*$E74</f>
        <v>0</v>
      </c>
      <c r="BE74" s="94"/>
      <c r="BF74" s="84">
        <f t="shared" ref="BF74:BF136" si="60">BE74*$E74</f>
        <v>0</v>
      </c>
      <c r="BG74" s="94"/>
      <c r="BH74" s="84">
        <f t="shared" ref="BH74:BJ136" si="61">BG74*$E74</f>
        <v>0</v>
      </c>
      <c r="BI74" s="94"/>
      <c r="BJ74" s="84">
        <f t="shared" si="61"/>
        <v>0</v>
      </c>
    </row>
    <row r="75" spans="1:62" s="24" customFormat="1" ht="12" x14ac:dyDescent="0.25">
      <c r="A75" s="236"/>
      <c r="B75" s="306"/>
      <c r="C75" s="67"/>
      <c r="D75" s="67"/>
      <c r="E75" s="248"/>
      <c r="F75" s="68"/>
      <c r="G75" s="69"/>
      <c r="H75" s="69"/>
      <c r="I75" s="22"/>
      <c r="J75" s="95"/>
      <c r="K75" s="96"/>
      <c r="L75" s="97"/>
      <c r="M75" s="97"/>
      <c r="O75" s="98"/>
      <c r="P75" s="99"/>
      <c r="Q75" s="98"/>
      <c r="R75" s="99"/>
      <c r="S75" s="98"/>
      <c r="T75" s="99"/>
      <c r="U75" s="98"/>
      <c r="V75" s="99"/>
      <c r="W75" s="98"/>
      <c r="X75" s="99"/>
      <c r="Y75" s="98"/>
      <c r="Z75" s="99"/>
      <c r="AA75" s="98"/>
      <c r="AB75" s="99"/>
      <c r="AC75" s="98"/>
      <c r="AD75" s="99"/>
      <c r="AE75" s="98"/>
      <c r="AF75" s="99"/>
      <c r="AG75" s="98"/>
      <c r="AH75" s="99"/>
      <c r="AI75" s="98"/>
      <c r="AJ75" s="99"/>
      <c r="AK75" s="98"/>
      <c r="AL75" s="99"/>
      <c r="AM75" s="98"/>
      <c r="AN75" s="99"/>
      <c r="AO75" s="98"/>
      <c r="AP75" s="99"/>
      <c r="AQ75" s="98"/>
      <c r="AR75" s="99"/>
      <c r="AS75" s="98"/>
      <c r="AT75" s="99"/>
      <c r="AU75" s="98"/>
      <c r="AV75" s="99"/>
      <c r="AW75" s="98"/>
      <c r="AX75" s="99"/>
      <c r="AY75" s="98"/>
      <c r="AZ75" s="99"/>
      <c r="BA75" s="98"/>
      <c r="BB75" s="99"/>
      <c r="BC75" s="98"/>
      <c r="BD75" s="99"/>
      <c r="BE75" s="98"/>
      <c r="BF75" s="99"/>
      <c r="BG75" s="98"/>
      <c r="BH75" s="99"/>
      <c r="BI75" s="98"/>
      <c r="BJ75" s="99"/>
    </row>
    <row r="76" spans="1:62" s="24" customFormat="1" ht="12" x14ac:dyDescent="0.25">
      <c r="A76" s="237" t="s">
        <v>500</v>
      </c>
      <c r="B76" s="280" t="s">
        <v>501</v>
      </c>
      <c r="C76" s="76">
        <v>6000</v>
      </c>
      <c r="D76" s="77" t="s">
        <v>858</v>
      </c>
      <c r="E76" s="246">
        <v>0.19</v>
      </c>
      <c r="F76" s="78">
        <f t="shared" si="37"/>
        <v>1140</v>
      </c>
      <c r="G76" s="79">
        <f t="shared" si="38"/>
        <v>0</v>
      </c>
      <c r="H76" s="79">
        <f t="shared" si="39"/>
        <v>0</v>
      </c>
      <c r="I76" s="22"/>
      <c r="J76" s="80">
        <f>C76-(O76+Q76+S76+U76+W76+Y76+AA76+AC76+AE76+AG76+AI76+AK76+AM76+AO76+AQ76+AS76+AU76+AW76+AY76+BA76+BC76+BE76+BG76+BI76)</f>
        <v>6000</v>
      </c>
      <c r="K76" s="81">
        <f t="shared" si="40"/>
        <v>1140</v>
      </c>
      <c r="L76" s="82">
        <f t="shared" si="41"/>
        <v>0</v>
      </c>
      <c r="M76" s="82">
        <f t="shared" si="27"/>
        <v>0</v>
      </c>
      <c r="O76" s="94"/>
      <c r="P76" s="84">
        <f>O76*E76</f>
        <v>0</v>
      </c>
      <c r="Q76" s="94"/>
      <c r="R76" s="84">
        <f t="shared" si="42"/>
        <v>0</v>
      </c>
      <c r="S76" s="94"/>
      <c r="T76" s="84">
        <f t="shared" si="43"/>
        <v>0</v>
      </c>
      <c r="U76" s="94"/>
      <c r="V76" s="84">
        <f t="shared" si="44"/>
        <v>0</v>
      </c>
      <c r="W76" s="94"/>
      <c r="X76" s="84">
        <f t="shared" si="45"/>
        <v>0</v>
      </c>
      <c r="Y76" s="94"/>
      <c r="Z76" s="84">
        <f t="shared" si="46"/>
        <v>0</v>
      </c>
      <c r="AA76" s="94"/>
      <c r="AB76" s="84">
        <f t="shared" si="47"/>
        <v>0</v>
      </c>
      <c r="AC76" s="94"/>
      <c r="AD76" s="84">
        <f t="shared" si="48"/>
        <v>0</v>
      </c>
      <c r="AE76" s="94"/>
      <c r="AF76" s="84">
        <f t="shared" si="49"/>
        <v>0</v>
      </c>
      <c r="AG76" s="94"/>
      <c r="AH76" s="84">
        <f t="shared" si="50"/>
        <v>0</v>
      </c>
      <c r="AI76" s="94"/>
      <c r="AJ76" s="84">
        <f t="shared" si="51"/>
        <v>0</v>
      </c>
      <c r="AK76" s="94"/>
      <c r="AL76" s="84">
        <f t="shared" si="51"/>
        <v>0</v>
      </c>
      <c r="AM76" s="94"/>
      <c r="AN76" s="84">
        <f>AM76*AC76</f>
        <v>0</v>
      </c>
      <c r="AO76" s="94"/>
      <c r="AP76" s="84">
        <f t="shared" si="52"/>
        <v>0</v>
      </c>
      <c r="AQ76" s="94"/>
      <c r="AR76" s="84">
        <f t="shared" si="53"/>
        <v>0</v>
      </c>
      <c r="AS76" s="94"/>
      <c r="AT76" s="84">
        <f t="shared" si="54"/>
        <v>0</v>
      </c>
      <c r="AU76" s="94"/>
      <c r="AV76" s="84">
        <f t="shared" si="55"/>
        <v>0</v>
      </c>
      <c r="AW76" s="94"/>
      <c r="AX76" s="84">
        <f t="shared" si="56"/>
        <v>0</v>
      </c>
      <c r="AY76" s="94"/>
      <c r="AZ76" s="84">
        <f t="shared" si="57"/>
        <v>0</v>
      </c>
      <c r="BA76" s="94"/>
      <c r="BB76" s="84">
        <f t="shared" si="58"/>
        <v>0</v>
      </c>
      <c r="BC76" s="94"/>
      <c r="BD76" s="84">
        <f t="shared" si="59"/>
        <v>0</v>
      </c>
      <c r="BE76" s="94"/>
      <c r="BF76" s="84">
        <f t="shared" si="60"/>
        <v>0</v>
      </c>
      <c r="BG76" s="94"/>
      <c r="BH76" s="84">
        <f t="shared" si="61"/>
        <v>0</v>
      </c>
      <c r="BI76" s="94"/>
      <c r="BJ76" s="84">
        <f t="shared" si="61"/>
        <v>0</v>
      </c>
    </row>
    <row r="77" spans="1:62" s="24" customFormat="1" ht="12" x14ac:dyDescent="0.25">
      <c r="A77" s="238" t="s">
        <v>502</v>
      </c>
      <c r="B77" s="281" t="s">
        <v>503</v>
      </c>
      <c r="C77" s="85">
        <v>6000</v>
      </c>
      <c r="D77" s="86" t="s">
        <v>858</v>
      </c>
      <c r="E77" s="247">
        <v>0.13</v>
      </c>
      <c r="F77" s="87">
        <f t="shared" si="37"/>
        <v>780</v>
      </c>
      <c r="G77" s="88">
        <f t="shared" si="38"/>
        <v>0</v>
      </c>
      <c r="H77" s="88">
        <f t="shared" si="39"/>
        <v>0</v>
      </c>
      <c r="I77" s="22"/>
      <c r="J77" s="89">
        <f>C77-(O77+Q77+S77+U77+W77+Y77+AA77+AC77+AE77+AG77+AI77+AK77+AM77+AO77+AQ77+AS77+AU77+AW77+AY77+BA77+BC77+BE77+BG77+BI77)</f>
        <v>6000</v>
      </c>
      <c r="K77" s="90">
        <f t="shared" si="40"/>
        <v>780</v>
      </c>
      <c r="L77" s="91">
        <f t="shared" si="41"/>
        <v>0</v>
      </c>
      <c r="M77" s="91">
        <f t="shared" si="27"/>
        <v>0</v>
      </c>
      <c r="O77" s="92"/>
      <c r="P77" s="93">
        <f>O77*E77</f>
        <v>0</v>
      </c>
      <c r="Q77" s="92"/>
      <c r="R77" s="93">
        <f t="shared" si="42"/>
        <v>0</v>
      </c>
      <c r="S77" s="92"/>
      <c r="T77" s="93">
        <f t="shared" si="43"/>
        <v>0</v>
      </c>
      <c r="U77" s="92"/>
      <c r="V77" s="93">
        <f t="shared" si="44"/>
        <v>0</v>
      </c>
      <c r="W77" s="92"/>
      <c r="X77" s="93">
        <f t="shared" si="45"/>
        <v>0</v>
      </c>
      <c r="Y77" s="92"/>
      <c r="Z77" s="93">
        <f t="shared" si="46"/>
        <v>0</v>
      </c>
      <c r="AA77" s="92"/>
      <c r="AB77" s="93">
        <f t="shared" si="47"/>
        <v>0</v>
      </c>
      <c r="AC77" s="92"/>
      <c r="AD77" s="93">
        <f t="shared" si="48"/>
        <v>0</v>
      </c>
      <c r="AE77" s="92"/>
      <c r="AF77" s="93">
        <f t="shared" si="49"/>
        <v>0</v>
      </c>
      <c r="AG77" s="92"/>
      <c r="AH77" s="93">
        <f t="shared" si="50"/>
        <v>0</v>
      </c>
      <c r="AI77" s="92"/>
      <c r="AJ77" s="93">
        <f t="shared" si="51"/>
        <v>0</v>
      </c>
      <c r="AK77" s="92"/>
      <c r="AL77" s="93">
        <f t="shared" si="51"/>
        <v>0</v>
      </c>
      <c r="AM77" s="92"/>
      <c r="AN77" s="93">
        <f>AM77*AC77</f>
        <v>0</v>
      </c>
      <c r="AO77" s="92"/>
      <c r="AP77" s="93">
        <f t="shared" si="52"/>
        <v>0</v>
      </c>
      <c r="AQ77" s="92"/>
      <c r="AR77" s="93">
        <f t="shared" si="53"/>
        <v>0</v>
      </c>
      <c r="AS77" s="92"/>
      <c r="AT77" s="93">
        <f t="shared" si="54"/>
        <v>0</v>
      </c>
      <c r="AU77" s="92"/>
      <c r="AV77" s="93">
        <f t="shared" si="55"/>
        <v>0</v>
      </c>
      <c r="AW77" s="92"/>
      <c r="AX77" s="93">
        <f t="shared" si="56"/>
        <v>0</v>
      </c>
      <c r="AY77" s="92"/>
      <c r="AZ77" s="93">
        <f t="shared" si="57"/>
        <v>0</v>
      </c>
      <c r="BA77" s="92"/>
      <c r="BB77" s="93">
        <f t="shared" si="58"/>
        <v>0</v>
      </c>
      <c r="BC77" s="92"/>
      <c r="BD77" s="93">
        <f t="shared" si="59"/>
        <v>0</v>
      </c>
      <c r="BE77" s="92"/>
      <c r="BF77" s="93">
        <f t="shared" si="60"/>
        <v>0</v>
      </c>
      <c r="BG77" s="92"/>
      <c r="BH77" s="93">
        <f t="shared" si="61"/>
        <v>0</v>
      </c>
      <c r="BI77" s="92"/>
      <c r="BJ77" s="93">
        <f t="shared" si="61"/>
        <v>0</v>
      </c>
    </row>
    <row r="78" spans="1:62" s="24" customFormat="1" ht="12" x14ac:dyDescent="0.25">
      <c r="A78" s="237" t="s">
        <v>504</v>
      </c>
      <c r="B78" s="280" t="s">
        <v>505</v>
      </c>
      <c r="C78" s="76">
        <v>16000</v>
      </c>
      <c r="D78" s="77" t="s">
        <v>858</v>
      </c>
      <c r="E78" s="246">
        <v>0.12</v>
      </c>
      <c r="F78" s="78">
        <f t="shared" si="37"/>
        <v>1920</v>
      </c>
      <c r="G78" s="79">
        <f t="shared" si="38"/>
        <v>0</v>
      </c>
      <c r="H78" s="79">
        <f t="shared" si="39"/>
        <v>0</v>
      </c>
      <c r="I78" s="22"/>
      <c r="J78" s="80">
        <f>C78-(O78+Q78+S78+U78+W78+Y78+AA78+AC78+AE78+AG78+AI78+AK78+AM78+AO78+AQ78+AS78+AU78+AW78+AY78+BA78+BC78+BE78+BG78+BI78)</f>
        <v>16000</v>
      </c>
      <c r="K78" s="81">
        <f t="shared" si="40"/>
        <v>1920</v>
      </c>
      <c r="L78" s="82">
        <f t="shared" si="41"/>
        <v>0</v>
      </c>
      <c r="M78" s="82">
        <f t="shared" si="27"/>
        <v>0</v>
      </c>
      <c r="O78" s="94"/>
      <c r="P78" s="84">
        <f>O78*E78</f>
        <v>0</v>
      </c>
      <c r="Q78" s="94"/>
      <c r="R78" s="84">
        <f t="shared" si="42"/>
        <v>0</v>
      </c>
      <c r="S78" s="94"/>
      <c r="T78" s="84">
        <f t="shared" si="43"/>
        <v>0</v>
      </c>
      <c r="U78" s="94"/>
      <c r="V78" s="84">
        <f t="shared" si="44"/>
        <v>0</v>
      </c>
      <c r="W78" s="94"/>
      <c r="X78" s="84">
        <f t="shared" si="45"/>
        <v>0</v>
      </c>
      <c r="Y78" s="94"/>
      <c r="Z78" s="84">
        <f t="shared" si="46"/>
        <v>0</v>
      </c>
      <c r="AA78" s="94"/>
      <c r="AB78" s="84">
        <f t="shared" si="47"/>
        <v>0</v>
      </c>
      <c r="AC78" s="94"/>
      <c r="AD78" s="84">
        <f t="shared" si="48"/>
        <v>0</v>
      </c>
      <c r="AE78" s="94"/>
      <c r="AF78" s="84">
        <f t="shared" si="49"/>
        <v>0</v>
      </c>
      <c r="AG78" s="94"/>
      <c r="AH78" s="84">
        <f t="shared" si="50"/>
        <v>0</v>
      </c>
      <c r="AI78" s="94"/>
      <c r="AJ78" s="84">
        <f t="shared" si="51"/>
        <v>0</v>
      </c>
      <c r="AK78" s="94"/>
      <c r="AL78" s="84">
        <f t="shared" si="51"/>
        <v>0</v>
      </c>
      <c r="AM78" s="94"/>
      <c r="AN78" s="84">
        <f>AM78*AC78</f>
        <v>0</v>
      </c>
      <c r="AO78" s="94"/>
      <c r="AP78" s="84">
        <f t="shared" si="52"/>
        <v>0</v>
      </c>
      <c r="AQ78" s="94"/>
      <c r="AR78" s="84">
        <f t="shared" si="53"/>
        <v>0</v>
      </c>
      <c r="AS78" s="94"/>
      <c r="AT78" s="84">
        <f t="shared" si="54"/>
        <v>0</v>
      </c>
      <c r="AU78" s="94"/>
      <c r="AV78" s="84">
        <f t="shared" si="55"/>
        <v>0</v>
      </c>
      <c r="AW78" s="94"/>
      <c r="AX78" s="84">
        <f t="shared" si="56"/>
        <v>0</v>
      </c>
      <c r="AY78" s="94"/>
      <c r="AZ78" s="84">
        <f t="shared" si="57"/>
        <v>0</v>
      </c>
      <c r="BA78" s="94"/>
      <c r="BB78" s="84">
        <f t="shared" si="58"/>
        <v>0</v>
      </c>
      <c r="BC78" s="94"/>
      <c r="BD78" s="84">
        <f t="shared" si="59"/>
        <v>0</v>
      </c>
      <c r="BE78" s="94"/>
      <c r="BF78" s="84">
        <f t="shared" si="60"/>
        <v>0</v>
      </c>
      <c r="BG78" s="94"/>
      <c r="BH78" s="84">
        <f t="shared" si="61"/>
        <v>0</v>
      </c>
      <c r="BI78" s="94"/>
      <c r="BJ78" s="84">
        <f t="shared" si="61"/>
        <v>0</v>
      </c>
    </row>
    <row r="79" spans="1:62" s="24" customFormat="1" ht="12" x14ac:dyDescent="0.25">
      <c r="A79" s="236"/>
      <c r="B79" s="306"/>
      <c r="C79" s="67"/>
      <c r="D79" s="67"/>
      <c r="E79" s="248"/>
      <c r="F79" s="68"/>
      <c r="G79" s="69"/>
      <c r="H79" s="69"/>
      <c r="I79" s="22"/>
      <c r="J79" s="95"/>
      <c r="K79" s="96"/>
      <c r="L79" s="97"/>
      <c r="M79" s="97"/>
      <c r="O79" s="98"/>
      <c r="P79" s="99"/>
      <c r="Q79" s="98"/>
      <c r="R79" s="99"/>
      <c r="S79" s="98"/>
      <c r="T79" s="99"/>
      <c r="U79" s="98"/>
      <c r="V79" s="99"/>
      <c r="W79" s="98"/>
      <c r="X79" s="99"/>
      <c r="Y79" s="98"/>
      <c r="Z79" s="99"/>
      <c r="AA79" s="98"/>
      <c r="AB79" s="99"/>
      <c r="AC79" s="98"/>
      <c r="AD79" s="99"/>
      <c r="AE79" s="98"/>
      <c r="AF79" s="99"/>
      <c r="AG79" s="98"/>
      <c r="AH79" s="99"/>
      <c r="AI79" s="98"/>
      <c r="AJ79" s="99"/>
      <c r="AK79" s="98"/>
      <c r="AL79" s="99"/>
      <c r="AM79" s="98"/>
      <c r="AN79" s="99"/>
      <c r="AO79" s="98"/>
      <c r="AP79" s="99"/>
      <c r="AQ79" s="98"/>
      <c r="AR79" s="99"/>
      <c r="AS79" s="98"/>
      <c r="AT79" s="99"/>
      <c r="AU79" s="98"/>
      <c r="AV79" s="99"/>
      <c r="AW79" s="98"/>
      <c r="AX79" s="99"/>
      <c r="AY79" s="98"/>
      <c r="AZ79" s="99"/>
      <c r="BA79" s="98"/>
      <c r="BB79" s="99"/>
      <c r="BC79" s="98"/>
      <c r="BD79" s="99"/>
      <c r="BE79" s="98"/>
      <c r="BF79" s="99"/>
      <c r="BG79" s="98"/>
      <c r="BH79" s="99"/>
      <c r="BI79" s="98"/>
      <c r="BJ79" s="99"/>
    </row>
    <row r="80" spans="1:62" s="24" customFormat="1" ht="24" x14ac:dyDescent="0.25">
      <c r="A80" s="237" t="s">
        <v>506</v>
      </c>
      <c r="B80" s="280" t="s">
        <v>1179</v>
      </c>
      <c r="C80" s="76">
        <v>500000</v>
      </c>
      <c r="D80" s="77" t="s">
        <v>858</v>
      </c>
      <c r="E80" s="246">
        <v>0.14000000000000001</v>
      </c>
      <c r="F80" s="78">
        <f t="shared" si="37"/>
        <v>70000</v>
      </c>
      <c r="G80" s="79">
        <f t="shared" si="38"/>
        <v>0</v>
      </c>
      <c r="H80" s="79">
        <f t="shared" si="39"/>
        <v>0</v>
      </c>
      <c r="I80" s="22"/>
      <c r="J80" s="80">
        <f>C80-(O80+Q80+S80+U80+W80+Y80+AA80+AC80+AE80+AG80+AI80+AK80+AM80+AO80+AQ80+AS80+AU80+AW80+AY80+BA80+BC80+BE80+BG80+BI80)</f>
        <v>500000</v>
      </c>
      <c r="K80" s="81">
        <f t="shared" si="40"/>
        <v>70000</v>
      </c>
      <c r="L80" s="82">
        <f t="shared" si="41"/>
        <v>0</v>
      </c>
      <c r="M80" s="82">
        <f t="shared" si="27"/>
        <v>0</v>
      </c>
      <c r="O80" s="94"/>
      <c r="P80" s="84">
        <f>O80*E80</f>
        <v>0</v>
      </c>
      <c r="Q80" s="94"/>
      <c r="R80" s="84">
        <f t="shared" si="42"/>
        <v>0</v>
      </c>
      <c r="S80" s="94"/>
      <c r="T80" s="84">
        <f t="shared" si="43"/>
        <v>0</v>
      </c>
      <c r="U80" s="94"/>
      <c r="V80" s="84">
        <f t="shared" si="44"/>
        <v>0</v>
      </c>
      <c r="W80" s="94"/>
      <c r="X80" s="84">
        <f t="shared" si="45"/>
        <v>0</v>
      </c>
      <c r="Y80" s="94"/>
      <c r="Z80" s="84">
        <f t="shared" si="46"/>
        <v>0</v>
      </c>
      <c r="AA80" s="94"/>
      <c r="AB80" s="84">
        <f t="shared" si="47"/>
        <v>0</v>
      </c>
      <c r="AC80" s="94"/>
      <c r="AD80" s="84">
        <f t="shared" si="48"/>
        <v>0</v>
      </c>
      <c r="AE80" s="94"/>
      <c r="AF80" s="84">
        <f t="shared" si="49"/>
        <v>0</v>
      </c>
      <c r="AG80" s="94"/>
      <c r="AH80" s="84">
        <f t="shared" si="50"/>
        <v>0</v>
      </c>
      <c r="AI80" s="94"/>
      <c r="AJ80" s="84">
        <f t="shared" si="51"/>
        <v>0</v>
      </c>
      <c r="AK80" s="94"/>
      <c r="AL80" s="84">
        <f t="shared" si="51"/>
        <v>0</v>
      </c>
      <c r="AM80" s="94"/>
      <c r="AN80" s="84">
        <f>AM80*AC80</f>
        <v>0</v>
      </c>
      <c r="AO80" s="94"/>
      <c r="AP80" s="84">
        <f t="shared" si="52"/>
        <v>0</v>
      </c>
      <c r="AQ80" s="94"/>
      <c r="AR80" s="84">
        <f t="shared" si="53"/>
        <v>0</v>
      </c>
      <c r="AS80" s="94"/>
      <c r="AT80" s="84">
        <f t="shared" si="54"/>
        <v>0</v>
      </c>
      <c r="AU80" s="94"/>
      <c r="AV80" s="84">
        <f t="shared" si="55"/>
        <v>0</v>
      </c>
      <c r="AW80" s="94"/>
      <c r="AX80" s="84">
        <f t="shared" si="56"/>
        <v>0</v>
      </c>
      <c r="AY80" s="94"/>
      <c r="AZ80" s="84">
        <f t="shared" si="57"/>
        <v>0</v>
      </c>
      <c r="BA80" s="94"/>
      <c r="BB80" s="84">
        <f t="shared" si="58"/>
        <v>0</v>
      </c>
      <c r="BC80" s="94"/>
      <c r="BD80" s="84">
        <f t="shared" si="59"/>
        <v>0</v>
      </c>
      <c r="BE80" s="94"/>
      <c r="BF80" s="84">
        <f t="shared" si="60"/>
        <v>0</v>
      </c>
      <c r="BG80" s="94"/>
      <c r="BH80" s="84">
        <f t="shared" si="61"/>
        <v>0</v>
      </c>
      <c r="BI80" s="94"/>
      <c r="BJ80" s="84">
        <f t="shared" si="61"/>
        <v>0</v>
      </c>
    </row>
    <row r="81" spans="1:62" s="24" customFormat="1" ht="12" x14ac:dyDescent="0.25">
      <c r="A81" s="238" t="s">
        <v>507</v>
      </c>
      <c r="B81" s="281" t="s">
        <v>1181</v>
      </c>
      <c r="C81" s="85">
        <v>220000</v>
      </c>
      <c r="D81" s="86" t="s">
        <v>858</v>
      </c>
      <c r="E81" s="247">
        <v>0.08</v>
      </c>
      <c r="F81" s="87">
        <f t="shared" si="37"/>
        <v>17600</v>
      </c>
      <c r="G81" s="88">
        <f t="shared" si="38"/>
        <v>0</v>
      </c>
      <c r="H81" s="88">
        <f t="shared" si="39"/>
        <v>0</v>
      </c>
      <c r="I81" s="22"/>
      <c r="J81" s="89">
        <f>C81-(O81+Q81+S81+U81+W81+Y81+AA81+AC81+AE81+AG81+AI81+AK81+AM81+AO81+AQ81+AS81+AU81+AW81+AY81+BA81+BC81+BE81+BG81+BI81)</f>
        <v>220000</v>
      </c>
      <c r="K81" s="90">
        <f t="shared" si="40"/>
        <v>17600</v>
      </c>
      <c r="L81" s="91">
        <f t="shared" si="41"/>
        <v>0</v>
      </c>
      <c r="M81" s="91">
        <f t="shared" si="27"/>
        <v>0</v>
      </c>
      <c r="O81" s="92"/>
      <c r="P81" s="93">
        <f>O81*E81</f>
        <v>0</v>
      </c>
      <c r="Q81" s="92"/>
      <c r="R81" s="93">
        <f t="shared" si="42"/>
        <v>0</v>
      </c>
      <c r="S81" s="92"/>
      <c r="T81" s="93">
        <f t="shared" si="43"/>
        <v>0</v>
      </c>
      <c r="U81" s="92"/>
      <c r="V81" s="93">
        <f t="shared" si="44"/>
        <v>0</v>
      </c>
      <c r="W81" s="92"/>
      <c r="X81" s="93">
        <f t="shared" si="45"/>
        <v>0</v>
      </c>
      <c r="Y81" s="92"/>
      <c r="Z81" s="93">
        <f t="shared" si="46"/>
        <v>0</v>
      </c>
      <c r="AA81" s="92"/>
      <c r="AB81" s="93">
        <f t="shared" si="47"/>
        <v>0</v>
      </c>
      <c r="AC81" s="92"/>
      <c r="AD81" s="93">
        <f t="shared" si="48"/>
        <v>0</v>
      </c>
      <c r="AE81" s="92"/>
      <c r="AF81" s="93">
        <f t="shared" si="49"/>
        <v>0</v>
      </c>
      <c r="AG81" s="92"/>
      <c r="AH81" s="93">
        <f t="shared" si="50"/>
        <v>0</v>
      </c>
      <c r="AI81" s="92"/>
      <c r="AJ81" s="93">
        <f t="shared" si="51"/>
        <v>0</v>
      </c>
      <c r="AK81" s="92"/>
      <c r="AL81" s="93">
        <f t="shared" si="51"/>
        <v>0</v>
      </c>
      <c r="AM81" s="92"/>
      <c r="AN81" s="93">
        <f>AM81*AC81</f>
        <v>0</v>
      </c>
      <c r="AO81" s="92"/>
      <c r="AP81" s="93">
        <f t="shared" si="52"/>
        <v>0</v>
      </c>
      <c r="AQ81" s="92"/>
      <c r="AR81" s="93">
        <f t="shared" si="53"/>
        <v>0</v>
      </c>
      <c r="AS81" s="92"/>
      <c r="AT81" s="93">
        <f t="shared" si="54"/>
        <v>0</v>
      </c>
      <c r="AU81" s="92"/>
      <c r="AV81" s="93">
        <f t="shared" si="55"/>
        <v>0</v>
      </c>
      <c r="AW81" s="92"/>
      <c r="AX81" s="93">
        <f t="shared" si="56"/>
        <v>0</v>
      </c>
      <c r="AY81" s="92"/>
      <c r="AZ81" s="93">
        <f t="shared" si="57"/>
        <v>0</v>
      </c>
      <c r="BA81" s="92"/>
      <c r="BB81" s="93">
        <f t="shared" si="58"/>
        <v>0</v>
      </c>
      <c r="BC81" s="92"/>
      <c r="BD81" s="93">
        <f t="shared" si="59"/>
        <v>0</v>
      </c>
      <c r="BE81" s="92"/>
      <c r="BF81" s="93">
        <f t="shared" si="60"/>
        <v>0</v>
      </c>
      <c r="BG81" s="92"/>
      <c r="BH81" s="93">
        <f t="shared" si="61"/>
        <v>0</v>
      </c>
      <c r="BI81" s="92"/>
      <c r="BJ81" s="93">
        <f t="shared" si="61"/>
        <v>0</v>
      </c>
    </row>
    <row r="82" spans="1:62" s="24" customFormat="1" ht="12" x14ac:dyDescent="0.25">
      <c r="A82" s="237" t="s">
        <v>508</v>
      </c>
      <c r="B82" s="280" t="s">
        <v>1180</v>
      </c>
      <c r="C82" s="76">
        <v>30000</v>
      </c>
      <c r="D82" s="77" t="s">
        <v>858</v>
      </c>
      <c r="E82" s="246">
        <v>0.04</v>
      </c>
      <c r="F82" s="78">
        <f t="shared" si="37"/>
        <v>1200</v>
      </c>
      <c r="G82" s="79">
        <f t="shared" si="38"/>
        <v>0</v>
      </c>
      <c r="H82" s="79">
        <f t="shared" si="39"/>
        <v>0</v>
      </c>
      <c r="I82" s="22"/>
      <c r="J82" s="80">
        <f>C82-(O82+Q82+S82+U82+W82+Y82+AA82+AC82+AE82+AG82+AI82+AK82+AM82+AO82+AQ82+AS82+AU82+AW82+AY82+BA82+BC82+BE82+BG82+BI82)</f>
        <v>30000</v>
      </c>
      <c r="K82" s="81">
        <f t="shared" si="40"/>
        <v>1200</v>
      </c>
      <c r="L82" s="82">
        <f t="shared" si="41"/>
        <v>0</v>
      </c>
      <c r="M82" s="82">
        <f t="shared" si="27"/>
        <v>0</v>
      </c>
      <c r="O82" s="94"/>
      <c r="P82" s="84">
        <f>O82*E82</f>
        <v>0</v>
      </c>
      <c r="Q82" s="94"/>
      <c r="R82" s="84">
        <f t="shared" si="42"/>
        <v>0</v>
      </c>
      <c r="S82" s="94"/>
      <c r="T82" s="84">
        <f t="shared" si="43"/>
        <v>0</v>
      </c>
      <c r="U82" s="94"/>
      <c r="V82" s="84">
        <f t="shared" si="44"/>
        <v>0</v>
      </c>
      <c r="W82" s="94"/>
      <c r="X82" s="84">
        <f t="shared" si="45"/>
        <v>0</v>
      </c>
      <c r="Y82" s="94"/>
      <c r="Z82" s="84">
        <f t="shared" si="46"/>
        <v>0</v>
      </c>
      <c r="AA82" s="94"/>
      <c r="AB82" s="84">
        <f t="shared" si="47"/>
        <v>0</v>
      </c>
      <c r="AC82" s="94"/>
      <c r="AD82" s="84">
        <f t="shared" si="48"/>
        <v>0</v>
      </c>
      <c r="AE82" s="94"/>
      <c r="AF82" s="84">
        <f t="shared" si="49"/>
        <v>0</v>
      </c>
      <c r="AG82" s="94"/>
      <c r="AH82" s="84">
        <f t="shared" si="50"/>
        <v>0</v>
      </c>
      <c r="AI82" s="94"/>
      <c r="AJ82" s="84">
        <f t="shared" si="51"/>
        <v>0</v>
      </c>
      <c r="AK82" s="94"/>
      <c r="AL82" s="84">
        <f t="shared" si="51"/>
        <v>0</v>
      </c>
      <c r="AM82" s="94"/>
      <c r="AN82" s="84">
        <f>AM82*AC82</f>
        <v>0</v>
      </c>
      <c r="AO82" s="94"/>
      <c r="AP82" s="84">
        <f t="shared" si="52"/>
        <v>0</v>
      </c>
      <c r="AQ82" s="94"/>
      <c r="AR82" s="84">
        <f t="shared" si="53"/>
        <v>0</v>
      </c>
      <c r="AS82" s="94"/>
      <c r="AT82" s="84">
        <f t="shared" si="54"/>
        <v>0</v>
      </c>
      <c r="AU82" s="94"/>
      <c r="AV82" s="84">
        <f t="shared" si="55"/>
        <v>0</v>
      </c>
      <c r="AW82" s="94"/>
      <c r="AX82" s="84">
        <f t="shared" si="56"/>
        <v>0</v>
      </c>
      <c r="AY82" s="94"/>
      <c r="AZ82" s="84">
        <f t="shared" si="57"/>
        <v>0</v>
      </c>
      <c r="BA82" s="94"/>
      <c r="BB82" s="84">
        <f t="shared" si="58"/>
        <v>0</v>
      </c>
      <c r="BC82" s="94"/>
      <c r="BD82" s="84">
        <f t="shared" si="59"/>
        <v>0</v>
      </c>
      <c r="BE82" s="94"/>
      <c r="BF82" s="84">
        <f t="shared" si="60"/>
        <v>0</v>
      </c>
      <c r="BG82" s="94"/>
      <c r="BH82" s="84">
        <f t="shared" si="61"/>
        <v>0</v>
      </c>
      <c r="BI82" s="94"/>
      <c r="BJ82" s="84">
        <f t="shared" si="61"/>
        <v>0</v>
      </c>
    </row>
    <row r="83" spans="1:62" s="24" customFormat="1" ht="12" x14ac:dyDescent="0.25">
      <c r="A83" s="236"/>
      <c r="B83" s="306"/>
      <c r="C83" s="67"/>
      <c r="D83" s="67"/>
      <c r="E83" s="248"/>
      <c r="F83" s="68"/>
      <c r="G83" s="69"/>
      <c r="H83" s="69"/>
      <c r="I83" s="22"/>
      <c r="J83" s="95"/>
      <c r="K83" s="96"/>
      <c r="L83" s="97"/>
      <c r="M83" s="97"/>
      <c r="O83" s="98"/>
      <c r="P83" s="99"/>
      <c r="Q83" s="98"/>
      <c r="R83" s="99"/>
      <c r="S83" s="98"/>
      <c r="T83" s="99"/>
      <c r="U83" s="98"/>
      <c r="V83" s="99"/>
      <c r="W83" s="98"/>
      <c r="X83" s="99"/>
      <c r="Y83" s="98"/>
      <c r="Z83" s="99"/>
      <c r="AA83" s="98"/>
      <c r="AB83" s="99"/>
      <c r="AC83" s="98"/>
      <c r="AD83" s="99"/>
      <c r="AE83" s="98"/>
      <c r="AF83" s="99"/>
      <c r="AG83" s="98"/>
      <c r="AH83" s="99"/>
      <c r="AI83" s="98"/>
      <c r="AJ83" s="99"/>
      <c r="AK83" s="98"/>
      <c r="AL83" s="99"/>
      <c r="AM83" s="98"/>
      <c r="AN83" s="99"/>
      <c r="AO83" s="98"/>
      <c r="AP83" s="99"/>
      <c r="AQ83" s="98"/>
      <c r="AR83" s="99"/>
      <c r="AS83" s="98"/>
      <c r="AT83" s="99"/>
      <c r="AU83" s="98"/>
      <c r="AV83" s="99"/>
      <c r="AW83" s="98"/>
      <c r="AX83" s="99"/>
      <c r="AY83" s="98"/>
      <c r="AZ83" s="99"/>
      <c r="BA83" s="98"/>
      <c r="BB83" s="99"/>
      <c r="BC83" s="98"/>
      <c r="BD83" s="99"/>
      <c r="BE83" s="98"/>
      <c r="BF83" s="99"/>
      <c r="BG83" s="98"/>
      <c r="BH83" s="99"/>
      <c r="BI83" s="98"/>
      <c r="BJ83" s="99"/>
    </row>
    <row r="84" spans="1:62" s="24" customFormat="1" ht="12" x14ac:dyDescent="0.25">
      <c r="A84" s="237" t="s">
        <v>509</v>
      </c>
      <c r="B84" s="280" t="s">
        <v>1174</v>
      </c>
      <c r="C84" s="76">
        <v>300</v>
      </c>
      <c r="D84" s="77" t="s">
        <v>858</v>
      </c>
      <c r="E84" s="246">
        <v>1.45</v>
      </c>
      <c r="F84" s="78">
        <f t="shared" si="37"/>
        <v>435</v>
      </c>
      <c r="G84" s="79">
        <f t="shared" si="38"/>
        <v>0</v>
      </c>
      <c r="H84" s="79">
        <f t="shared" si="39"/>
        <v>0</v>
      </c>
      <c r="I84" s="22"/>
      <c r="J84" s="80">
        <f>C84-(O84+Q84+S84+U84+W84+Y84+AA84+AC84+AE84+AG84+AI84+AK84+AM84+AO84+AQ84+AS84+AU84+AW84+AY84+BA84+BC84+BE84+BG84+BI84)</f>
        <v>300</v>
      </c>
      <c r="K84" s="81">
        <f t="shared" si="40"/>
        <v>435</v>
      </c>
      <c r="L84" s="82">
        <f t="shared" si="41"/>
        <v>0</v>
      </c>
      <c r="M84" s="82">
        <f t="shared" si="27"/>
        <v>0</v>
      </c>
      <c r="O84" s="94"/>
      <c r="P84" s="84">
        <f>O84*E84</f>
        <v>0</v>
      </c>
      <c r="Q84" s="94"/>
      <c r="R84" s="84">
        <f t="shared" si="42"/>
        <v>0</v>
      </c>
      <c r="S84" s="94"/>
      <c r="T84" s="84">
        <f t="shared" si="43"/>
        <v>0</v>
      </c>
      <c r="U84" s="94"/>
      <c r="V84" s="84">
        <f t="shared" si="44"/>
        <v>0</v>
      </c>
      <c r="W84" s="94"/>
      <c r="X84" s="84">
        <f t="shared" si="45"/>
        <v>0</v>
      </c>
      <c r="Y84" s="94"/>
      <c r="Z84" s="84">
        <f t="shared" si="46"/>
        <v>0</v>
      </c>
      <c r="AA84" s="94"/>
      <c r="AB84" s="84">
        <f t="shared" si="47"/>
        <v>0</v>
      </c>
      <c r="AC84" s="94"/>
      <c r="AD84" s="84">
        <f t="shared" si="48"/>
        <v>0</v>
      </c>
      <c r="AE84" s="94"/>
      <c r="AF84" s="84">
        <f t="shared" si="49"/>
        <v>0</v>
      </c>
      <c r="AG84" s="94"/>
      <c r="AH84" s="84">
        <f t="shared" si="50"/>
        <v>0</v>
      </c>
      <c r="AI84" s="94"/>
      <c r="AJ84" s="84">
        <f t="shared" si="51"/>
        <v>0</v>
      </c>
      <c r="AK84" s="94"/>
      <c r="AL84" s="84">
        <f t="shared" si="51"/>
        <v>0</v>
      </c>
      <c r="AM84" s="94"/>
      <c r="AN84" s="84">
        <f>AM84*AC84</f>
        <v>0</v>
      </c>
      <c r="AO84" s="94"/>
      <c r="AP84" s="84">
        <f t="shared" si="52"/>
        <v>0</v>
      </c>
      <c r="AQ84" s="94"/>
      <c r="AR84" s="84">
        <f t="shared" si="53"/>
        <v>0</v>
      </c>
      <c r="AS84" s="94"/>
      <c r="AT84" s="84">
        <f t="shared" si="54"/>
        <v>0</v>
      </c>
      <c r="AU84" s="94"/>
      <c r="AV84" s="84">
        <f t="shared" si="55"/>
        <v>0</v>
      </c>
      <c r="AW84" s="94"/>
      <c r="AX84" s="84">
        <f t="shared" si="56"/>
        <v>0</v>
      </c>
      <c r="AY84" s="94"/>
      <c r="AZ84" s="84">
        <f t="shared" si="57"/>
        <v>0</v>
      </c>
      <c r="BA84" s="94"/>
      <c r="BB84" s="84">
        <f t="shared" si="58"/>
        <v>0</v>
      </c>
      <c r="BC84" s="94"/>
      <c r="BD84" s="84">
        <f t="shared" si="59"/>
        <v>0</v>
      </c>
      <c r="BE84" s="94"/>
      <c r="BF84" s="84">
        <f t="shared" si="60"/>
        <v>0</v>
      </c>
      <c r="BG84" s="94"/>
      <c r="BH84" s="84">
        <f t="shared" si="61"/>
        <v>0</v>
      </c>
      <c r="BI84" s="94"/>
      <c r="BJ84" s="84">
        <f t="shared" si="61"/>
        <v>0</v>
      </c>
    </row>
    <row r="85" spans="1:62" s="24" customFormat="1" ht="12" x14ac:dyDescent="0.25">
      <c r="A85" s="238" t="s">
        <v>510</v>
      </c>
      <c r="B85" s="281" t="s">
        <v>1175</v>
      </c>
      <c r="C85" s="85">
        <v>7000</v>
      </c>
      <c r="D85" s="86" t="s">
        <v>858</v>
      </c>
      <c r="E85" s="247">
        <v>0.57999999999999996</v>
      </c>
      <c r="F85" s="87">
        <f t="shared" si="37"/>
        <v>4060</v>
      </c>
      <c r="G85" s="88">
        <f t="shared" si="38"/>
        <v>0</v>
      </c>
      <c r="H85" s="88">
        <f t="shared" si="39"/>
        <v>0</v>
      </c>
      <c r="I85" s="22"/>
      <c r="J85" s="89">
        <f>C85-(O85+Q85+S85+U85+W85+Y85+AA85+AC85+AE85+AG85+AI85+AK85+AM85+AO85+AQ85+AS85+AU85+AW85+AY85+BA85+BC85+BE85+BG85+BI85)</f>
        <v>7000</v>
      </c>
      <c r="K85" s="90">
        <f t="shared" si="40"/>
        <v>4059.9999999999995</v>
      </c>
      <c r="L85" s="91">
        <f t="shared" si="41"/>
        <v>0</v>
      </c>
      <c r="M85" s="91">
        <f t="shared" ref="M85:M148" si="62">J85*H85</f>
        <v>0</v>
      </c>
      <c r="O85" s="92"/>
      <c r="P85" s="93">
        <f>O85*E85</f>
        <v>0</v>
      </c>
      <c r="Q85" s="92"/>
      <c r="R85" s="93">
        <f t="shared" si="42"/>
        <v>0</v>
      </c>
      <c r="S85" s="92"/>
      <c r="T85" s="93">
        <f t="shared" si="43"/>
        <v>0</v>
      </c>
      <c r="U85" s="92"/>
      <c r="V85" s="93">
        <f t="shared" si="44"/>
        <v>0</v>
      </c>
      <c r="W85" s="92"/>
      <c r="X85" s="93">
        <f t="shared" si="45"/>
        <v>0</v>
      </c>
      <c r="Y85" s="92"/>
      <c r="Z85" s="93">
        <f t="shared" si="46"/>
        <v>0</v>
      </c>
      <c r="AA85" s="92"/>
      <c r="AB85" s="93">
        <f t="shared" si="47"/>
        <v>0</v>
      </c>
      <c r="AC85" s="92"/>
      <c r="AD85" s="93">
        <f t="shared" si="48"/>
        <v>0</v>
      </c>
      <c r="AE85" s="92"/>
      <c r="AF85" s="93">
        <f t="shared" si="49"/>
        <v>0</v>
      </c>
      <c r="AG85" s="92"/>
      <c r="AH85" s="93">
        <f t="shared" si="50"/>
        <v>0</v>
      </c>
      <c r="AI85" s="92"/>
      <c r="AJ85" s="93">
        <f t="shared" si="51"/>
        <v>0</v>
      </c>
      <c r="AK85" s="92"/>
      <c r="AL85" s="93">
        <f t="shared" si="51"/>
        <v>0</v>
      </c>
      <c r="AM85" s="92"/>
      <c r="AN85" s="93">
        <f>AM85*AC85</f>
        <v>0</v>
      </c>
      <c r="AO85" s="92"/>
      <c r="AP85" s="93">
        <f t="shared" si="52"/>
        <v>0</v>
      </c>
      <c r="AQ85" s="92"/>
      <c r="AR85" s="93">
        <f t="shared" si="53"/>
        <v>0</v>
      </c>
      <c r="AS85" s="92"/>
      <c r="AT85" s="93">
        <f t="shared" si="54"/>
        <v>0</v>
      </c>
      <c r="AU85" s="92"/>
      <c r="AV85" s="93">
        <f t="shared" si="55"/>
        <v>0</v>
      </c>
      <c r="AW85" s="92"/>
      <c r="AX85" s="93">
        <f t="shared" si="56"/>
        <v>0</v>
      </c>
      <c r="AY85" s="92"/>
      <c r="AZ85" s="93">
        <f t="shared" si="57"/>
        <v>0</v>
      </c>
      <c r="BA85" s="92"/>
      <c r="BB85" s="93">
        <f t="shared" si="58"/>
        <v>0</v>
      </c>
      <c r="BC85" s="92"/>
      <c r="BD85" s="93">
        <f t="shared" si="59"/>
        <v>0</v>
      </c>
      <c r="BE85" s="92"/>
      <c r="BF85" s="93">
        <f t="shared" si="60"/>
        <v>0</v>
      </c>
      <c r="BG85" s="92"/>
      <c r="BH85" s="93">
        <f t="shared" si="61"/>
        <v>0</v>
      </c>
      <c r="BI85" s="92"/>
      <c r="BJ85" s="93">
        <f t="shared" si="61"/>
        <v>0</v>
      </c>
    </row>
    <row r="86" spans="1:62" s="24" customFormat="1" ht="12" x14ac:dyDescent="0.25">
      <c r="A86" s="237" t="s">
        <v>511</v>
      </c>
      <c r="B86" s="280" t="s">
        <v>1176</v>
      </c>
      <c r="C86" s="76">
        <v>2000</v>
      </c>
      <c r="D86" s="77" t="s">
        <v>858</v>
      </c>
      <c r="E86" s="246">
        <v>0.37</v>
      </c>
      <c r="F86" s="78">
        <f t="shared" si="37"/>
        <v>740</v>
      </c>
      <c r="G86" s="79">
        <f t="shared" si="38"/>
        <v>0</v>
      </c>
      <c r="H86" s="79">
        <f t="shared" si="39"/>
        <v>0</v>
      </c>
      <c r="I86" s="22"/>
      <c r="J86" s="80">
        <f>C86-(O86+Q86+S86+U86+W86+Y86+AA86+AC86+AE86+AG86+AI86+AK86+AM86+AO86+AQ86+AS86+AU86+AW86+AY86+BA86+BC86+BE86+BG86+BI86)</f>
        <v>2000</v>
      </c>
      <c r="K86" s="81">
        <f t="shared" si="40"/>
        <v>740</v>
      </c>
      <c r="L86" s="82">
        <f t="shared" si="41"/>
        <v>0</v>
      </c>
      <c r="M86" s="82">
        <f t="shared" si="62"/>
        <v>0</v>
      </c>
      <c r="O86" s="94"/>
      <c r="P86" s="84">
        <f>O86*E86</f>
        <v>0</v>
      </c>
      <c r="Q86" s="94"/>
      <c r="R86" s="84">
        <f t="shared" si="42"/>
        <v>0</v>
      </c>
      <c r="S86" s="94"/>
      <c r="T86" s="84">
        <f t="shared" si="43"/>
        <v>0</v>
      </c>
      <c r="U86" s="94"/>
      <c r="V86" s="84">
        <f t="shared" si="44"/>
        <v>0</v>
      </c>
      <c r="W86" s="94"/>
      <c r="X86" s="84">
        <f t="shared" si="45"/>
        <v>0</v>
      </c>
      <c r="Y86" s="94"/>
      <c r="Z86" s="84">
        <f t="shared" si="46"/>
        <v>0</v>
      </c>
      <c r="AA86" s="94"/>
      <c r="AB86" s="84">
        <f t="shared" si="47"/>
        <v>0</v>
      </c>
      <c r="AC86" s="94"/>
      <c r="AD86" s="84">
        <f t="shared" si="48"/>
        <v>0</v>
      </c>
      <c r="AE86" s="94"/>
      <c r="AF86" s="84">
        <f t="shared" si="49"/>
        <v>0</v>
      </c>
      <c r="AG86" s="94"/>
      <c r="AH86" s="84">
        <f t="shared" si="50"/>
        <v>0</v>
      </c>
      <c r="AI86" s="94"/>
      <c r="AJ86" s="84">
        <f t="shared" si="51"/>
        <v>0</v>
      </c>
      <c r="AK86" s="94"/>
      <c r="AL86" s="84">
        <f t="shared" si="51"/>
        <v>0</v>
      </c>
      <c r="AM86" s="94"/>
      <c r="AN86" s="84">
        <f>AM86*AC86</f>
        <v>0</v>
      </c>
      <c r="AO86" s="94"/>
      <c r="AP86" s="84">
        <f t="shared" si="52"/>
        <v>0</v>
      </c>
      <c r="AQ86" s="94"/>
      <c r="AR86" s="84">
        <f t="shared" si="53"/>
        <v>0</v>
      </c>
      <c r="AS86" s="94"/>
      <c r="AT86" s="84">
        <f t="shared" si="54"/>
        <v>0</v>
      </c>
      <c r="AU86" s="94"/>
      <c r="AV86" s="84">
        <f t="shared" si="55"/>
        <v>0</v>
      </c>
      <c r="AW86" s="94"/>
      <c r="AX86" s="84">
        <f t="shared" si="56"/>
        <v>0</v>
      </c>
      <c r="AY86" s="94"/>
      <c r="AZ86" s="84">
        <f t="shared" si="57"/>
        <v>0</v>
      </c>
      <c r="BA86" s="94"/>
      <c r="BB86" s="84">
        <f t="shared" si="58"/>
        <v>0</v>
      </c>
      <c r="BC86" s="94"/>
      <c r="BD86" s="84">
        <f t="shared" si="59"/>
        <v>0</v>
      </c>
      <c r="BE86" s="94"/>
      <c r="BF86" s="84">
        <f t="shared" si="60"/>
        <v>0</v>
      </c>
      <c r="BG86" s="94"/>
      <c r="BH86" s="84">
        <f t="shared" si="61"/>
        <v>0</v>
      </c>
      <c r="BI86" s="94"/>
      <c r="BJ86" s="84">
        <f t="shared" si="61"/>
        <v>0</v>
      </c>
    </row>
    <row r="87" spans="1:62" s="24" customFormat="1" ht="12" x14ac:dyDescent="0.25">
      <c r="A87" s="238" t="s">
        <v>512</v>
      </c>
      <c r="B87" s="281" t="s">
        <v>1177</v>
      </c>
      <c r="C87" s="85">
        <v>1000</v>
      </c>
      <c r="D87" s="86" t="s">
        <v>858</v>
      </c>
      <c r="E87" s="247">
        <v>0.19</v>
      </c>
      <c r="F87" s="87">
        <f t="shared" si="37"/>
        <v>190</v>
      </c>
      <c r="G87" s="88">
        <f t="shared" si="38"/>
        <v>0</v>
      </c>
      <c r="H87" s="88">
        <f t="shared" si="39"/>
        <v>0</v>
      </c>
      <c r="I87" s="22"/>
      <c r="J87" s="89">
        <f>C87-(O87+Q87+S87+U87+W87+Y87+AA87+AC87+AE87+AG87+AI87+AK87+AM87+AO87+AQ87+AS87+AU87+AW87+AY87+BA87+BC87+BE87+BG87+BI87)</f>
        <v>1000</v>
      </c>
      <c r="K87" s="90">
        <f t="shared" si="40"/>
        <v>190</v>
      </c>
      <c r="L87" s="91">
        <f t="shared" si="41"/>
        <v>0</v>
      </c>
      <c r="M87" s="91">
        <f t="shared" si="62"/>
        <v>0</v>
      </c>
      <c r="O87" s="92"/>
      <c r="P87" s="93">
        <f>O87*E87</f>
        <v>0</v>
      </c>
      <c r="Q87" s="92"/>
      <c r="R87" s="93">
        <f t="shared" si="42"/>
        <v>0</v>
      </c>
      <c r="S87" s="92"/>
      <c r="T87" s="93">
        <f t="shared" si="43"/>
        <v>0</v>
      </c>
      <c r="U87" s="92"/>
      <c r="V87" s="93">
        <f t="shared" si="44"/>
        <v>0</v>
      </c>
      <c r="W87" s="92"/>
      <c r="X87" s="93">
        <f t="shared" si="45"/>
        <v>0</v>
      </c>
      <c r="Y87" s="92"/>
      <c r="Z87" s="93">
        <f t="shared" si="46"/>
        <v>0</v>
      </c>
      <c r="AA87" s="92"/>
      <c r="AB87" s="93">
        <f t="shared" si="47"/>
        <v>0</v>
      </c>
      <c r="AC87" s="92"/>
      <c r="AD87" s="93">
        <f t="shared" si="48"/>
        <v>0</v>
      </c>
      <c r="AE87" s="92"/>
      <c r="AF87" s="93">
        <f t="shared" si="49"/>
        <v>0</v>
      </c>
      <c r="AG87" s="92"/>
      <c r="AH87" s="93">
        <f t="shared" si="50"/>
        <v>0</v>
      </c>
      <c r="AI87" s="92"/>
      <c r="AJ87" s="93">
        <f t="shared" si="51"/>
        <v>0</v>
      </c>
      <c r="AK87" s="92"/>
      <c r="AL87" s="93">
        <f t="shared" si="51"/>
        <v>0</v>
      </c>
      <c r="AM87" s="92"/>
      <c r="AN87" s="93">
        <f>AM87*AC87</f>
        <v>0</v>
      </c>
      <c r="AO87" s="92"/>
      <c r="AP87" s="93">
        <f t="shared" si="52"/>
        <v>0</v>
      </c>
      <c r="AQ87" s="92"/>
      <c r="AR87" s="93">
        <f t="shared" si="53"/>
        <v>0</v>
      </c>
      <c r="AS87" s="92"/>
      <c r="AT87" s="93">
        <f t="shared" si="54"/>
        <v>0</v>
      </c>
      <c r="AU87" s="92"/>
      <c r="AV87" s="93">
        <f t="shared" si="55"/>
        <v>0</v>
      </c>
      <c r="AW87" s="92"/>
      <c r="AX87" s="93">
        <f t="shared" si="56"/>
        <v>0</v>
      </c>
      <c r="AY87" s="92"/>
      <c r="AZ87" s="93">
        <f t="shared" si="57"/>
        <v>0</v>
      </c>
      <c r="BA87" s="92"/>
      <c r="BB87" s="93">
        <f t="shared" si="58"/>
        <v>0</v>
      </c>
      <c r="BC87" s="92"/>
      <c r="BD87" s="93">
        <f t="shared" si="59"/>
        <v>0</v>
      </c>
      <c r="BE87" s="92"/>
      <c r="BF87" s="93">
        <f t="shared" si="60"/>
        <v>0</v>
      </c>
      <c r="BG87" s="92"/>
      <c r="BH87" s="93">
        <f t="shared" si="61"/>
        <v>0</v>
      </c>
      <c r="BI87" s="92"/>
      <c r="BJ87" s="93">
        <f t="shared" si="61"/>
        <v>0</v>
      </c>
    </row>
    <row r="88" spans="1:62" s="24" customFormat="1" ht="12" x14ac:dyDescent="0.25">
      <c r="A88" s="237" t="s">
        <v>513</v>
      </c>
      <c r="B88" s="280" t="s">
        <v>1178</v>
      </c>
      <c r="C88" s="76">
        <v>4000</v>
      </c>
      <c r="D88" s="77" t="s">
        <v>858</v>
      </c>
      <c r="E88" s="246">
        <v>0.1</v>
      </c>
      <c r="F88" s="78">
        <f t="shared" si="37"/>
        <v>400</v>
      </c>
      <c r="G88" s="79">
        <f t="shared" si="38"/>
        <v>0</v>
      </c>
      <c r="H88" s="79">
        <f t="shared" si="39"/>
        <v>0</v>
      </c>
      <c r="I88" s="22"/>
      <c r="J88" s="80">
        <f>C88-(O88+Q88+S88+U88+W88+Y88+AA88+AC88+AE88+AG88+AI88+AK88+AM88+AO88+AQ88+AS88+AU88+AW88+AY88+BA88+BC88+BE88+BG88+BI88)</f>
        <v>4000</v>
      </c>
      <c r="K88" s="81">
        <f t="shared" si="40"/>
        <v>400</v>
      </c>
      <c r="L88" s="82">
        <f t="shared" si="41"/>
        <v>0</v>
      </c>
      <c r="M88" s="82">
        <f t="shared" si="62"/>
        <v>0</v>
      </c>
      <c r="O88" s="94"/>
      <c r="P88" s="84">
        <f>O88*E88</f>
        <v>0</v>
      </c>
      <c r="Q88" s="94"/>
      <c r="R88" s="84">
        <f t="shared" si="42"/>
        <v>0</v>
      </c>
      <c r="S88" s="94"/>
      <c r="T88" s="84">
        <f t="shared" si="43"/>
        <v>0</v>
      </c>
      <c r="U88" s="94"/>
      <c r="V88" s="84">
        <f t="shared" si="44"/>
        <v>0</v>
      </c>
      <c r="W88" s="94"/>
      <c r="X88" s="84">
        <f t="shared" si="45"/>
        <v>0</v>
      </c>
      <c r="Y88" s="94"/>
      <c r="Z88" s="84">
        <f t="shared" si="46"/>
        <v>0</v>
      </c>
      <c r="AA88" s="94"/>
      <c r="AB88" s="84">
        <f t="shared" si="47"/>
        <v>0</v>
      </c>
      <c r="AC88" s="94"/>
      <c r="AD88" s="84">
        <f t="shared" si="48"/>
        <v>0</v>
      </c>
      <c r="AE88" s="94"/>
      <c r="AF88" s="84">
        <f t="shared" si="49"/>
        <v>0</v>
      </c>
      <c r="AG88" s="94"/>
      <c r="AH88" s="84">
        <f t="shared" si="50"/>
        <v>0</v>
      </c>
      <c r="AI88" s="94"/>
      <c r="AJ88" s="84">
        <f t="shared" si="51"/>
        <v>0</v>
      </c>
      <c r="AK88" s="94"/>
      <c r="AL88" s="84">
        <f t="shared" si="51"/>
        <v>0</v>
      </c>
      <c r="AM88" s="94"/>
      <c r="AN88" s="84">
        <f>AM88*AC88</f>
        <v>0</v>
      </c>
      <c r="AO88" s="94"/>
      <c r="AP88" s="84">
        <f t="shared" si="52"/>
        <v>0</v>
      </c>
      <c r="AQ88" s="94"/>
      <c r="AR88" s="84">
        <f t="shared" si="53"/>
        <v>0</v>
      </c>
      <c r="AS88" s="94"/>
      <c r="AT88" s="84">
        <f t="shared" si="54"/>
        <v>0</v>
      </c>
      <c r="AU88" s="94"/>
      <c r="AV88" s="84">
        <f t="shared" si="55"/>
        <v>0</v>
      </c>
      <c r="AW88" s="94"/>
      <c r="AX88" s="84">
        <f t="shared" si="56"/>
        <v>0</v>
      </c>
      <c r="AY88" s="94"/>
      <c r="AZ88" s="84">
        <f t="shared" si="57"/>
        <v>0</v>
      </c>
      <c r="BA88" s="94"/>
      <c r="BB88" s="84">
        <f t="shared" si="58"/>
        <v>0</v>
      </c>
      <c r="BC88" s="94"/>
      <c r="BD88" s="84">
        <f t="shared" si="59"/>
        <v>0</v>
      </c>
      <c r="BE88" s="94"/>
      <c r="BF88" s="84">
        <f t="shared" si="60"/>
        <v>0</v>
      </c>
      <c r="BG88" s="94"/>
      <c r="BH88" s="84">
        <f t="shared" si="61"/>
        <v>0</v>
      </c>
      <c r="BI88" s="94"/>
      <c r="BJ88" s="84">
        <f t="shared" si="61"/>
        <v>0</v>
      </c>
    </row>
    <row r="89" spans="1:62" s="24" customFormat="1" ht="12" x14ac:dyDescent="0.25">
      <c r="A89" s="240"/>
      <c r="B89" s="283"/>
      <c r="C89" s="103"/>
      <c r="D89" s="5"/>
      <c r="E89" s="248"/>
      <c r="F89" s="68"/>
      <c r="G89" s="69"/>
      <c r="H89" s="69"/>
      <c r="I89" s="22"/>
      <c r="J89" s="95"/>
      <c r="K89" s="96"/>
      <c r="L89" s="97"/>
      <c r="M89" s="97"/>
      <c r="O89" s="98"/>
      <c r="P89" s="99"/>
      <c r="Q89" s="98"/>
      <c r="R89" s="99"/>
      <c r="S89" s="98"/>
      <c r="T89" s="99"/>
      <c r="U89" s="98"/>
      <c r="V89" s="99"/>
      <c r="W89" s="98"/>
      <c r="X89" s="99"/>
      <c r="Y89" s="98"/>
      <c r="Z89" s="99"/>
      <c r="AA89" s="98"/>
      <c r="AB89" s="99"/>
      <c r="AC89" s="98"/>
      <c r="AD89" s="99"/>
      <c r="AE89" s="98"/>
      <c r="AF89" s="99"/>
      <c r="AG89" s="98"/>
      <c r="AH89" s="99"/>
      <c r="AI89" s="98"/>
      <c r="AJ89" s="99"/>
      <c r="AK89" s="98"/>
      <c r="AL89" s="99"/>
      <c r="AM89" s="98"/>
      <c r="AN89" s="99"/>
      <c r="AO89" s="98"/>
      <c r="AP89" s="99"/>
      <c r="AQ89" s="98"/>
      <c r="AR89" s="99"/>
      <c r="AS89" s="98"/>
      <c r="AT89" s="99"/>
      <c r="AU89" s="98"/>
      <c r="AV89" s="99"/>
      <c r="AW89" s="98"/>
      <c r="AX89" s="99"/>
      <c r="AY89" s="98"/>
      <c r="AZ89" s="99"/>
      <c r="BA89" s="98"/>
      <c r="BB89" s="99"/>
      <c r="BC89" s="98"/>
      <c r="BD89" s="99"/>
      <c r="BE89" s="98"/>
      <c r="BF89" s="99"/>
      <c r="BG89" s="98"/>
      <c r="BH89" s="99"/>
      <c r="BI89" s="98"/>
      <c r="BJ89" s="99"/>
    </row>
    <row r="90" spans="1:62" s="24" customFormat="1" ht="12" x14ac:dyDescent="0.25">
      <c r="A90" s="241" t="s">
        <v>514</v>
      </c>
      <c r="B90" s="284" t="s">
        <v>515</v>
      </c>
      <c r="C90" s="77">
        <v>20</v>
      </c>
      <c r="D90" s="104" t="s">
        <v>862</v>
      </c>
      <c r="E90" s="246">
        <v>48.15</v>
      </c>
      <c r="F90" s="78">
        <f t="shared" si="37"/>
        <v>963</v>
      </c>
      <c r="G90" s="79">
        <f t="shared" si="38"/>
        <v>0</v>
      </c>
      <c r="H90" s="79">
        <f t="shared" si="39"/>
        <v>0</v>
      </c>
      <c r="I90" s="22"/>
      <c r="J90" s="80">
        <f t="shared" ref="J90:J95" si="63">C90-(O90+Q90+S90+U90+W90+Y90+AA90+AC90+AE90+AG90+AI90+AK90+AM90+AO90+AQ90+AS90+AU90+AW90+AY90+BA90+BC90+BE90+BG90+BI90)</f>
        <v>20</v>
      </c>
      <c r="K90" s="81">
        <f t="shared" si="40"/>
        <v>963</v>
      </c>
      <c r="L90" s="82">
        <f t="shared" si="41"/>
        <v>0</v>
      </c>
      <c r="M90" s="82">
        <f t="shared" si="62"/>
        <v>0</v>
      </c>
      <c r="O90" s="94"/>
      <c r="P90" s="84">
        <f t="shared" ref="P90:P95" si="64">O90*E90</f>
        <v>0</v>
      </c>
      <c r="Q90" s="94"/>
      <c r="R90" s="84">
        <f t="shared" si="42"/>
        <v>0</v>
      </c>
      <c r="S90" s="94"/>
      <c r="T90" s="84">
        <f t="shared" si="43"/>
        <v>0</v>
      </c>
      <c r="U90" s="94"/>
      <c r="V90" s="84">
        <f t="shared" si="44"/>
        <v>0</v>
      </c>
      <c r="W90" s="94"/>
      <c r="X90" s="84">
        <f t="shared" si="45"/>
        <v>0</v>
      </c>
      <c r="Y90" s="94"/>
      <c r="Z90" s="84">
        <f t="shared" si="46"/>
        <v>0</v>
      </c>
      <c r="AA90" s="94"/>
      <c r="AB90" s="84">
        <f t="shared" si="47"/>
        <v>0</v>
      </c>
      <c r="AC90" s="94"/>
      <c r="AD90" s="84">
        <f t="shared" si="48"/>
        <v>0</v>
      </c>
      <c r="AE90" s="94"/>
      <c r="AF90" s="84">
        <f t="shared" si="49"/>
        <v>0</v>
      </c>
      <c r="AG90" s="94"/>
      <c r="AH90" s="84">
        <f t="shared" si="50"/>
        <v>0</v>
      </c>
      <c r="AI90" s="94"/>
      <c r="AJ90" s="84">
        <f t="shared" si="51"/>
        <v>0</v>
      </c>
      <c r="AK90" s="94"/>
      <c r="AL90" s="84">
        <f t="shared" si="51"/>
        <v>0</v>
      </c>
      <c r="AM90" s="94"/>
      <c r="AN90" s="84">
        <f t="shared" ref="AN90:AN95" si="65">AM90*AC90</f>
        <v>0</v>
      </c>
      <c r="AO90" s="94"/>
      <c r="AP90" s="84">
        <f t="shared" si="52"/>
        <v>0</v>
      </c>
      <c r="AQ90" s="94"/>
      <c r="AR90" s="84">
        <f t="shared" si="53"/>
        <v>0</v>
      </c>
      <c r="AS90" s="94"/>
      <c r="AT90" s="84">
        <f t="shared" si="54"/>
        <v>0</v>
      </c>
      <c r="AU90" s="94"/>
      <c r="AV90" s="84">
        <f t="shared" si="55"/>
        <v>0</v>
      </c>
      <c r="AW90" s="94"/>
      <c r="AX90" s="84">
        <f t="shared" si="56"/>
        <v>0</v>
      </c>
      <c r="AY90" s="94"/>
      <c r="AZ90" s="84">
        <f t="shared" si="57"/>
        <v>0</v>
      </c>
      <c r="BA90" s="94"/>
      <c r="BB90" s="84">
        <f t="shared" si="58"/>
        <v>0</v>
      </c>
      <c r="BC90" s="94"/>
      <c r="BD90" s="84">
        <f t="shared" si="59"/>
        <v>0</v>
      </c>
      <c r="BE90" s="94"/>
      <c r="BF90" s="84">
        <f t="shared" si="60"/>
        <v>0</v>
      </c>
      <c r="BG90" s="94"/>
      <c r="BH90" s="84">
        <f t="shared" si="61"/>
        <v>0</v>
      </c>
      <c r="BI90" s="94"/>
      <c r="BJ90" s="84">
        <f t="shared" si="61"/>
        <v>0</v>
      </c>
    </row>
    <row r="91" spans="1:62" s="24" customFormat="1" ht="12" x14ac:dyDescent="0.25">
      <c r="A91" s="242" t="s">
        <v>516</v>
      </c>
      <c r="B91" s="285" t="s">
        <v>517</v>
      </c>
      <c r="C91" s="86">
        <v>30</v>
      </c>
      <c r="D91" s="7" t="s">
        <v>862</v>
      </c>
      <c r="E91" s="247">
        <v>62.65</v>
      </c>
      <c r="F91" s="87">
        <f t="shared" si="37"/>
        <v>1879.5</v>
      </c>
      <c r="G91" s="88">
        <f t="shared" si="38"/>
        <v>0</v>
      </c>
      <c r="H91" s="88">
        <f t="shared" si="39"/>
        <v>0</v>
      </c>
      <c r="I91" s="22"/>
      <c r="J91" s="89">
        <f t="shared" si="63"/>
        <v>30</v>
      </c>
      <c r="K91" s="90">
        <f t="shared" si="40"/>
        <v>1879.5</v>
      </c>
      <c r="L91" s="91">
        <f t="shared" si="41"/>
        <v>0</v>
      </c>
      <c r="M91" s="91">
        <f t="shared" si="62"/>
        <v>0</v>
      </c>
      <c r="O91" s="92"/>
      <c r="P91" s="93">
        <f t="shared" si="64"/>
        <v>0</v>
      </c>
      <c r="Q91" s="92"/>
      <c r="R91" s="93">
        <f t="shared" si="42"/>
        <v>0</v>
      </c>
      <c r="S91" s="92"/>
      <c r="T91" s="93">
        <f t="shared" si="43"/>
        <v>0</v>
      </c>
      <c r="U91" s="92"/>
      <c r="V91" s="93">
        <f t="shared" si="44"/>
        <v>0</v>
      </c>
      <c r="W91" s="92"/>
      <c r="X91" s="93">
        <f t="shared" si="45"/>
        <v>0</v>
      </c>
      <c r="Y91" s="92"/>
      <c r="Z91" s="93">
        <f t="shared" si="46"/>
        <v>0</v>
      </c>
      <c r="AA91" s="92"/>
      <c r="AB91" s="93">
        <f t="shared" si="47"/>
        <v>0</v>
      </c>
      <c r="AC91" s="92"/>
      <c r="AD91" s="93">
        <f t="shared" si="48"/>
        <v>0</v>
      </c>
      <c r="AE91" s="92"/>
      <c r="AF91" s="93">
        <f t="shared" si="49"/>
        <v>0</v>
      </c>
      <c r="AG91" s="92"/>
      <c r="AH91" s="93">
        <f t="shared" si="50"/>
        <v>0</v>
      </c>
      <c r="AI91" s="92"/>
      <c r="AJ91" s="93">
        <f t="shared" si="51"/>
        <v>0</v>
      </c>
      <c r="AK91" s="92"/>
      <c r="AL91" s="93">
        <f t="shared" si="51"/>
        <v>0</v>
      </c>
      <c r="AM91" s="92"/>
      <c r="AN91" s="93">
        <f t="shared" si="65"/>
        <v>0</v>
      </c>
      <c r="AO91" s="92"/>
      <c r="AP91" s="93">
        <f t="shared" si="52"/>
        <v>0</v>
      </c>
      <c r="AQ91" s="92"/>
      <c r="AR91" s="93">
        <f t="shared" si="53"/>
        <v>0</v>
      </c>
      <c r="AS91" s="92"/>
      <c r="AT91" s="93">
        <f t="shared" si="54"/>
        <v>0</v>
      </c>
      <c r="AU91" s="92"/>
      <c r="AV91" s="93">
        <f t="shared" si="55"/>
        <v>0</v>
      </c>
      <c r="AW91" s="92"/>
      <c r="AX91" s="93">
        <f t="shared" si="56"/>
        <v>0</v>
      </c>
      <c r="AY91" s="92"/>
      <c r="AZ91" s="93">
        <f t="shared" si="57"/>
        <v>0</v>
      </c>
      <c r="BA91" s="92"/>
      <c r="BB91" s="93">
        <f t="shared" si="58"/>
        <v>0</v>
      </c>
      <c r="BC91" s="92"/>
      <c r="BD91" s="93">
        <f t="shared" si="59"/>
        <v>0</v>
      </c>
      <c r="BE91" s="92"/>
      <c r="BF91" s="93">
        <f t="shared" si="60"/>
        <v>0</v>
      </c>
      <c r="BG91" s="92"/>
      <c r="BH91" s="93">
        <f t="shared" si="61"/>
        <v>0</v>
      </c>
      <c r="BI91" s="92"/>
      <c r="BJ91" s="93">
        <f t="shared" si="61"/>
        <v>0</v>
      </c>
    </row>
    <row r="92" spans="1:62" s="24" customFormat="1" ht="12" x14ac:dyDescent="0.25">
      <c r="A92" s="241" t="s">
        <v>518</v>
      </c>
      <c r="B92" s="284" t="s">
        <v>519</v>
      </c>
      <c r="C92" s="77">
        <v>20</v>
      </c>
      <c r="D92" s="104" t="s">
        <v>862</v>
      </c>
      <c r="E92" s="246">
        <v>86.77</v>
      </c>
      <c r="F92" s="78">
        <f t="shared" si="37"/>
        <v>1735.4</v>
      </c>
      <c r="G92" s="79">
        <f t="shared" si="38"/>
        <v>0</v>
      </c>
      <c r="H92" s="79">
        <f t="shared" si="39"/>
        <v>0</v>
      </c>
      <c r="I92" s="22"/>
      <c r="J92" s="80">
        <f t="shared" si="63"/>
        <v>20</v>
      </c>
      <c r="K92" s="81">
        <f t="shared" si="40"/>
        <v>1735.3999999999999</v>
      </c>
      <c r="L92" s="82">
        <f t="shared" si="41"/>
        <v>0</v>
      </c>
      <c r="M92" s="82">
        <f t="shared" si="62"/>
        <v>0</v>
      </c>
      <c r="O92" s="94"/>
      <c r="P92" s="84">
        <f t="shared" si="64"/>
        <v>0</v>
      </c>
      <c r="Q92" s="94"/>
      <c r="R92" s="84">
        <f t="shared" si="42"/>
        <v>0</v>
      </c>
      <c r="S92" s="94"/>
      <c r="T92" s="84">
        <f t="shared" si="43"/>
        <v>0</v>
      </c>
      <c r="U92" s="94"/>
      <c r="V92" s="84">
        <f t="shared" si="44"/>
        <v>0</v>
      </c>
      <c r="W92" s="94"/>
      <c r="X92" s="84">
        <f t="shared" si="45"/>
        <v>0</v>
      </c>
      <c r="Y92" s="94"/>
      <c r="Z92" s="84">
        <f t="shared" si="46"/>
        <v>0</v>
      </c>
      <c r="AA92" s="94"/>
      <c r="AB92" s="84">
        <f t="shared" si="47"/>
        <v>0</v>
      </c>
      <c r="AC92" s="94"/>
      <c r="AD92" s="84">
        <f t="shared" si="48"/>
        <v>0</v>
      </c>
      <c r="AE92" s="94"/>
      <c r="AF92" s="84">
        <f t="shared" si="49"/>
        <v>0</v>
      </c>
      <c r="AG92" s="94"/>
      <c r="AH92" s="84">
        <f t="shared" si="50"/>
        <v>0</v>
      </c>
      <c r="AI92" s="94"/>
      <c r="AJ92" s="84">
        <f t="shared" si="51"/>
        <v>0</v>
      </c>
      <c r="AK92" s="94"/>
      <c r="AL92" s="84">
        <f t="shared" si="51"/>
        <v>0</v>
      </c>
      <c r="AM92" s="94"/>
      <c r="AN92" s="84">
        <f t="shared" si="65"/>
        <v>0</v>
      </c>
      <c r="AO92" s="94"/>
      <c r="AP92" s="84">
        <f t="shared" si="52"/>
        <v>0</v>
      </c>
      <c r="AQ92" s="94"/>
      <c r="AR92" s="84">
        <f t="shared" si="53"/>
        <v>0</v>
      </c>
      <c r="AS92" s="94"/>
      <c r="AT92" s="84">
        <f t="shared" si="54"/>
        <v>0</v>
      </c>
      <c r="AU92" s="94"/>
      <c r="AV92" s="84">
        <f t="shared" si="55"/>
        <v>0</v>
      </c>
      <c r="AW92" s="94"/>
      <c r="AX92" s="84">
        <f t="shared" si="56"/>
        <v>0</v>
      </c>
      <c r="AY92" s="94"/>
      <c r="AZ92" s="84">
        <f t="shared" si="57"/>
        <v>0</v>
      </c>
      <c r="BA92" s="94"/>
      <c r="BB92" s="84">
        <f t="shared" si="58"/>
        <v>0</v>
      </c>
      <c r="BC92" s="94"/>
      <c r="BD92" s="84">
        <f t="shared" si="59"/>
        <v>0</v>
      </c>
      <c r="BE92" s="94"/>
      <c r="BF92" s="84">
        <f t="shared" si="60"/>
        <v>0</v>
      </c>
      <c r="BG92" s="94"/>
      <c r="BH92" s="84">
        <f t="shared" si="61"/>
        <v>0</v>
      </c>
      <c r="BI92" s="94"/>
      <c r="BJ92" s="84">
        <f t="shared" si="61"/>
        <v>0</v>
      </c>
    </row>
    <row r="93" spans="1:62" s="24" customFormat="1" ht="12" x14ac:dyDescent="0.25">
      <c r="A93" s="243" t="s">
        <v>520</v>
      </c>
      <c r="B93" s="285" t="s">
        <v>521</v>
      </c>
      <c r="C93" s="86">
        <v>50</v>
      </c>
      <c r="D93" s="7" t="s">
        <v>862</v>
      </c>
      <c r="E93" s="247">
        <v>125.25</v>
      </c>
      <c r="F93" s="87">
        <f t="shared" si="37"/>
        <v>6262.5</v>
      </c>
      <c r="G93" s="88">
        <f t="shared" si="38"/>
        <v>0</v>
      </c>
      <c r="H93" s="88">
        <f t="shared" si="39"/>
        <v>0</v>
      </c>
      <c r="I93" s="22"/>
      <c r="J93" s="89">
        <f t="shared" si="63"/>
        <v>50</v>
      </c>
      <c r="K93" s="90">
        <f t="shared" si="40"/>
        <v>6262.5</v>
      </c>
      <c r="L93" s="91">
        <f t="shared" si="41"/>
        <v>0</v>
      </c>
      <c r="M93" s="91">
        <f t="shared" si="62"/>
        <v>0</v>
      </c>
      <c r="O93" s="92"/>
      <c r="P93" s="93">
        <f t="shared" si="64"/>
        <v>0</v>
      </c>
      <c r="Q93" s="92"/>
      <c r="R93" s="93">
        <f t="shared" si="42"/>
        <v>0</v>
      </c>
      <c r="S93" s="92"/>
      <c r="T93" s="93">
        <f t="shared" si="43"/>
        <v>0</v>
      </c>
      <c r="U93" s="92"/>
      <c r="V93" s="93">
        <f t="shared" si="44"/>
        <v>0</v>
      </c>
      <c r="W93" s="92"/>
      <c r="X93" s="93">
        <f t="shared" si="45"/>
        <v>0</v>
      </c>
      <c r="Y93" s="92"/>
      <c r="Z93" s="93">
        <f t="shared" si="46"/>
        <v>0</v>
      </c>
      <c r="AA93" s="92"/>
      <c r="AB93" s="93">
        <f t="shared" si="47"/>
        <v>0</v>
      </c>
      <c r="AC93" s="92"/>
      <c r="AD93" s="93">
        <f t="shared" si="48"/>
        <v>0</v>
      </c>
      <c r="AE93" s="92"/>
      <c r="AF93" s="93">
        <f t="shared" si="49"/>
        <v>0</v>
      </c>
      <c r="AG93" s="92"/>
      <c r="AH93" s="93">
        <f t="shared" si="50"/>
        <v>0</v>
      </c>
      <c r="AI93" s="92"/>
      <c r="AJ93" s="93">
        <f t="shared" si="51"/>
        <v>0</v>
      </c>
      <c r="AK93" s="92"/>
      <c r="AL93" s="93">
        <f t="shared" si="51"/>
        <v>0</v>
      </c>
      <c r="AM93" s="92"/>
      <c r="AN93" s="93">
        <f t="shared" si="65"/>
        <v>0</v>
      </c>
      <c r="AO93" s="92"/>
      <c r="AP93" s="93">
        <f t="shared" si="52"/>
        <v>0</v>
      </c>
      <c r="AQ93" s="92"/>
      <c r="AR93" s="93">
        <f t="shared" si="53"/>
        <v>0</v>
      </c>
      <c r="AS93" s="92"/>
      <c r="AT93" s="93">
        <f t="shared" si="54"/>
        <v>0</v>
      </c>
      <c r="AU93" s="92"/>
      <c r="AV93" s="93">
        <f t="shared" si="55"/>
        <v>0</v>
      </c>
      <c r="AW93" s="92"/>
      <c r="AX93" s="93">
        <f t="shared" si="56"/>
        <v>0</v>
      </c>
      <c r="AY93" s="92"/>
      <c r="AZ93" s="93">
        <f t="shared" si="57"/>
        <v>0</v>
      </c>
      <c r="BA93" s="92"/>
      <c r="BB93" s="93">
        <f t="shared" si="58"/>
        <v>0</v>
      </c>
      <c r="BC93" s="92"/>
      <c r="BD93" s="93">
        <f t="shared" si="59"/>
        <v>0</v>
      </c>
      <c r="BE93" s="92"/>
      <c r="BF93" s="93">
        <f t="shared" si="60"/>
        <v>0</v>
      </c>
      <c r="BG93" s="92"/>
      <c r="BH93" s="93">
        <f t="shared" si="61"/>
        <v>0</v>
      </c>
      <c r="BI93" s="92"/>
      <c r="BJ93" s="93">
        <f t="shared" si="61"/>
        <v>0</v>
      </c>
    </row>
    <row r="94" spans="1:62" s="24" customFormat="1" ht="12" x14ac:dyDescent="0.25">
      <c r="A94" s="244" t="s">
        <v>522</v>
      </c>
      <c r="B94" s="284" t="s">
        <v>523</v>
      </c>
      <c r="C94" s="77">
        <v>300</v>
      </c>
      <c r="D94" s="104" t="s">
        <v>862</v>
      </c>
      <c r="E94" s="246">
        <v>62.63</v>
      </c>
      <c r="F94" s="78">
        <f t="shared" si="37"/>
        <v>18789</v>
      </c>
      <c r="G94" s="79">
        <f t="shared" si="38"/>
        <v>0</v>
      </c>
      <c r="H94" s="79">
        <f t="shared" si="39"/>
        <v>0</v>
      </c>
      <c r="I94" s="22"/>
      <c r="J94" s="80">
        <f t="shared" si="63"/>
        <v>300</v>
      </c>
      <c r="K94" s="81">
        <f t="shared" si="40"/>
        <v>18789</v>
      </c>
      <c r="L94" s="82">
        <f t="shared" si="41"/>
        <v>0</v>
      </c>
      <c r="M94" s="82">
        <f t="shared" si="62"/>
        <v>0</v>
      </c>
      <c r="O94" s="94"/>
      <c r="P94" s="84">
        <f t="shared" si="64"/>
        <v>0</v>
      </c>
      <c r="Q94" s="94"/>
      <c r="R94" s="84">
        <f t="shared" si="42"/>
        <v>0</v>
      </c>
      <c r="S94" s="94"/>
      <c r="T94" s="84">
        <f t="shared" si="43"/>
        <v>0</v>
      </c>
      <c r="U94" s="94"/>
      <c r="V94" s="84">
        <f t="shared" si="44"/>
        <v>0</v>
      </c>
      <c r="W94" s="94"/>
      <c r="X94" s="84">
        <f t="shared" si="45"/>
        <v>0</v>
      </c>
      <c r="Y94" s="94"/>
      <c r="Z94" s="84">
        <f t="shared" si="46"/>
        <v>0</v>
      </c>
      <c r="AA94" s="94"/>
      <c r="AB94" s="84">
        <f t="shared" si="47"/>
        <v>0</v>
      </c>
      <c r="AC94" s="94"/>
      <c r="AD94" s="84">
        <f t="shared" si="48"/>
        <v>0</v>
      </c>
      <c r="AE94" s="94"/>
      <c r="AF94" s="84">
        <f t="shared" si="49"/>
        <v>0</v>
      </c>
      <c r="AG94" s="94"/>
      <c r="AH94" s="84">
        <f t="shared" si="50"/>
        <v>0</v>
      </c>
      <c r="AI94" s="94"/>
      <c r="AJ94" s="84">
        <f t="shared" si="51"/>
        <v>0</v>
      </c>
      <c r="AK94" s="94"/>
      <c r="AL94" s="84">
        <f t="shared" si="51"/>
        <v>0</v>
      </c>
      <c r="AM94" s="94"/>
      <c r="AN94" s="84">
        <f t="shared" si="65"/>
        <v>0</v>
      </c>
      <c r="AO94" s="94"/>
      <c r="AP94" s="84">
        <f t="shared" si="52"/>
        <v>0</v>
      </c>
      <c r="AQ94" s="94"/>
      <c r="AR94" s="84">
        <f t="shared" si="53"/>
        <v>0</v>
      </c>
      <c r="AS94" s="94"/>
      <c r="AT94" s="84">
        <f t="shared" si="54"/>
        <v>0</v>
      </c>
      <c r="AU94" s="94"/>
      <c r="AV94" s="84">
        <f t="shared" si="55"/>
        <v>0</v>
      </c>
      <c r="AW94" s="94"/>
      <c r="AX94" s="84">
        <f t="shared" si="56"/>
        <v>0</v>
      </c>
      <c r="AY94" s="94"/>
      <c r="AZ94" s="84">
        <f t="shared" si="57"/>
        <v>0</v>
      </c>
      <c r="BA94" s="94"/>
      <c r="BB94" s="84">
        <f t="shared" si="58"/>
        <v>0</v>
      </c>
      <c r="BC94" s="94"/>
      <c r="BD94" s="84">
        <f t="shared" si="59"/>
        <v>0</v>
      </c>
      <c r="BE94" s="94"/>
      <c r="BF94" s="84">
        <f t="shared" si="60"/>
        <v>0</v>
      </c>
      <c r="BG94" s="94"/>
      <c r="BH94" s="84">
        <f t="shared" si="61"/>
        <v>0</v>
      </c>
      <c r="BI94" s="94"/>
      <c r="BJ94" s="84">
        <f t="shared" si="61"/>
        <v>0</v>
      </c>
    </row>
    <row r="95" spans="1:62" s="24" customFormat="1" ht="12" x14ac:dyDescent="0.25">
      <c r="A95" s="243" t="s">
        <v>524</v>
      </c>
      <c r="B95" s="285" t="s">
        <v>525</v>
      </c>
      <c r="C95" s="86">
        <v>115</v>
      </c>
      <c r="D95" s="7" t="s">
        <v>862</v>
      </c>
      <c r="E95" s="247">
        <v>67.45</v>
      </c>
      <c r="F95" s="87">
        <f t="shared" si="37"/>
        <v>7756.75</v>
      </c>
      <c r="G95" s="88">
        <f t="shared" si="38"/>
        <v>0</v>
      </c>
      <c r="H95" s="88">
        <f t="shared" si="39"/>
        <v>0</v>
      </c>
      <c r="I95" s="22"/>
      <c r="J95" s="89">
        <f t="shared" si="63"/>
        <v>115</v>
      </c>
      <c r="K95" s="90">
        <f t="shared" si="40"/>
        <v>7756.75</v>
      </c>
      <c r="L95" s="91">
        <f t="shared" si="41"/>
        <v>0</v>
      </c>
      <c r="M95" s="91">
        <f t="shared" si="62"/>
        <v>0</v>
      </c>
      <c r="O95" s="92"/>
      <c r="P95" s="93">
        <f t="shared" si="64"/>
        <v>0</v>
      </c>
      <c r="Q95" s="92"/>
      <c r="R95" s="93">
        <f t="shared" si="42"/>
        <v>0</v>
      </c>
      <c r="S95" s="92"/>
      <c r="T95" s="93">
        <f t="shared" si="43"/>
        <v>0</v>
      </c>
      <c r="U95" s="92"/>
      <c r="V95" s="93">
        <f t="shared" si="44"/>
        <v>0</v>
      </c>
      <c r="W95" s="92"/>
      <c r="X95" s="93">
        <f t="shared" si="45"/>
        <v>0</v>
      </c>
      <c r="Y95" s="92"/>
      <c r="Z95" s="93">
        <f t="shared" si="46"/>
        <v>0</v>
      </c>
      <c r="AA95" s="92"/>
      <c r="AB95" s="93">
        <f t="shared" si="47"/>
        <v>0</v>
      </c>
      <c r="AC95" s="92"/>
      <c r="AD95" s="93">
        <f t="shared" si="48"/>
        <v>0</v>
      </c>
      <c r="AE95" s="92"/>
      <c r="AF95" s="93">
        <f t="shared" si="49"/>
        <v>0</v>
      </c>
      <c r="AG95" s="92"/>
      <c r="AH95" s="93">
        <f t="shared" si="50"/>
        <v>0</v>
      </c>
      <c r="AI95" s="92"/>
      <c r="AJ95" s="93">
        <f t="shared" si="51"/>
        <v>0</v>
      </c>
      <c r="AK95" s="92"/>
      <c r="AL95" s="93">
        <f t="shared" si="51"/>
        <v>0</v>
      </c>
      <c r="AM95" s="92"/>
      <c r="AN95" s="93">
        <f t="shared" si="65"/>
        <v>0</v>
      </c>
      <c r="AO95" s="92"/>
      <c r="AP95" s="93">
        <f t="shared" si="52"/>
        <v>0</v>
      </c>
      <c r="AQ95" s="92"/>
      <c r="AR95" s="93">
        <f t="shared" si="53"/>
        <v>0</v>
      </c>
      <c r="AS95" s="92"/>
      <c r="AT95" s="93">
        <f t="shared" si="54"/>
        <v>0</v>
      </c>
      <c r="AU95" s="92"/>
      <c r="AV95" s="93">
        <f t="shared" si="55"/>
        <v>0</v>
      </c>
      <c r="AW95" s="92"/>
      <c r="AX95" s="93">
        <f t="shared" si="56"/>
        <v>0</v>
      </c>
      <c r="AY95" s="92"/>
      <c r="AZ95" s="93">
        <f t="shared" si="57"/>
        <v>0</v>
      </c>
      <c r="BA95" s="92"/>
      <c r="BB95" s="93">
        <f t="shared" si="58"/>
        <v>0</v>
      </c>
      <c r="BC95" s="92"/>
      <c r="BD95" s="93">
        <f t="shared" si="59"/>
        <v>0</v>
      </c>
      <c r="BE95" s="92"/>
      <c r="BF95" s="93">
        <f t="shared" si="60"/>
        <v>0</v>
      </c>
      <c r="BG95" s="92"/>
      <c r="BH95" s="93">
        <f t="shared" si="61"/>
        <v>0</v>
      </c>
      <c r="BI95" s="92"/>
      <c r="BJ95" s="93">
        <f t="shared" si="61"/>
        <v>0</v>
      </c>
    </row>
    <row r="96" spans="1:62" s="106" customFormat="1" ht="12" x14ac:dyDescent="0.2">
      <c r="A96" s="240"/>
      <c r="B96" s="304"/>
      <c r="C96" s="103"/>
      <c r="D96" s="5"/>
      <c r="E96" s="248"/>
      <c r="F96" s="68"/>
      <c r="G96" s="69"/>
      <c r="H96" s="69"/>
      <c r="I96" s="105"/>
      <c r="J96" s="95"/>
      <c r="K96" s="96"/>
      <c r="L96" s="97"/>
      <c r="M96" s="97"/>
      <c r="O96" s="107"/>
      <c r="P96" s="99"/>
      <c r="Q96" s="107"/>
      <c r="R96" s="99"/>
      <c r="S96" s="107"/>
      <c r="T96" s="99"/>
      <c r="U96" s="107"/>
      <c r="V96" s="99"/>
      <c r="W96" s="107"/>
      <c r="X96" s="99"/>
      <c r="Y96" s="107"/>
      <c r="Z96" s="99"/>
      <c r="AA96" s="107"/>
      <c r="AB96" s="99"/>
      <c r="AC96" s="107"/>
      <c r="AD96" s="99"/>
      <c r="AE96" s="107"/>
      <c r="AF96" s="99"/>
      <c r="AG96" s="107"/>
      <c r="AH96" s="99"/>
      <c r="AI96" s="107"/>
      <c r="AJ96" s="99"/>
      <c r="AK96" s="107"/>
      <c r="AL96" s="99"/>
      <c r="AM96" s="107"/>
      <c r="AN96" s="99"/>
      <c r="AO96" s="107"/>
      <c r="AP96" s="99"/>
      <c r="AQ96" s="107"/>
      <c r="AR96" s="99"/>
      <c r="AS96" s="107"/>
      <c r="AT96" s="99"/>
      <c r="AU96" s="107"/>
      <c r="AV96" s="99"/>
      <c r="AW96" s="107"/>
      <c r="AX96" s="99"/>
      <c r="AY96" s="107"/>
      <c r="AZ96" s="99"/>
      <c r="BA96" s="107"/>
      <c r="BB96" s="99"/>
      <c r="BC96" s="107"/>
      <c r="BD96" s="99"/>
      <c r="BE96" s="107"/>
      <c r="BF96" s="99"/>
      <c r="BG96" s="107"/>
      <c r="BH96" s="99"/>
      <c r="BI96" s="107"/>
      <c r="BJ96" s="99"/>
    </row>
    <row r="97" spans="1:62" s="106" customFormat="1" ht="12" x14ac:dyDescent="0.2">
      <c r="A97" s="241" t="s">
        <v>526</v>
      </c>
      <c r="B97" s="284" t="s">
        <v>1126</v>
      </c>
      <c r="C97" s="77">
        <v>1300</v>
      </c>
      <c r="D97" s="104" t="s">
        <v>863</v>
      </c>
      <c r="E97" s="246">
        <v>0.87</v>
      </c>
      <c r="F97" s="78">
        <f t="shared" si="37"/>
        <v>1131</v>
      </c>
      <c r="G97" s="79">
        <f t="shared" si="38"/>
        <v>0</v>
      </c>
      <c r="H97" s="79">
        <f t="shared" si="39"/>
        <v>0</v>
      </c>
      <c r="I97" s="105"/>
      <c r="J97" s="80">
        <f>C97-(O97+Q97+S97+U97+W97+Y97+AA97+AC97+AE97+AG97+AI97+AK97+AM97+AO97+AQ97+AS97+AU97+AW97+AY97+BA97+BC97+BE97+BG97+BI97)</f>
        <v>1300</v>
      </c>
      <c r="K97" s="81">
        <f t="shared" si="40"/>
        <v>1131</v>
      </c>
      <c r="L97" s="82">
        <f t="shared" si="41"/>
        <v>0</v>
      </c>
      <c r="M97" s="82">
        <f t="shared" si="62"/>
        <v>0</v>
      </c>
      <c r="O97" s="108"/>
      <c r="P97" s="84">
        <f>O97*E97</f>
        <v>0</v>
      </c>
      <c r="Q97" s="108"/>
      <c r="R97" s="84">
        <f t="shared" si="42"/>
        <v>0</v>
      </c>
      <c r="S97" s="108"/>
      <c r="T97" s="84">
        <f t="shared" si="43"/>
        <v>0</v>
      </c>
      <c r="U97" s="108"/>
      <c r="V97" s="84">
        <f t="shared" si="44"/>
        <v>0</v>
      </c>
      <c r="W97" s="108"/>
      <c r="X97" s="84">
        <f t="shared" si="45"/>
        <v>0</v>
      </c>
      <c r="Y97" s="108"/>
      <c r="Z97" s="84">
        <f t="shared" si="46"/>
        <v>0</v>
      </c>
      <c r="AA97" s="108"/>
      <c r="AB97" s="84">
        <f t="shared" si="47"/>
        <v>0</v>
      </c>
      <c r="AC97" s="108"/>
      <c r="AD97" s="84">
        <f t="shared" si="48"/>
        <v>0</v>
      </c>
      <c r="AE97" s="108"/>
      <c r="AF97" s="84">
        <f t="shared" si="49"/>
        <v>0</v>
      </c>
      <c r="AG97" s="108"/>
      <c r="AH97" s="84">
        <f t="shared" si="50"/>
        <v>0</v>
      </c>
      <c r="AI97" s="108"/>
      <c r="AJ97" s="84">
        <f t="shared" si="51"/>
        <v>0</v>
      </c>
      <c r="AK97" s="108"/>
      <c r="AL97" s="84">
        <f t="shared" si="51"/>
        <v>0</v>
      </c>
      <c r="AM97" s="108"/>
      <c r="AN97" s="84">
        <f>AM97*AC97</f>
        <v>0</v>
      </c>
      <c r="AO97" s="108"/>
      <c r="AP97" s="84">
        <f t="shared" si="52"/>
        <v>0</v>
      </c>
      <c r="AQ97" s="108"/>
      <c r="AR97" s="84">
        <f t="shared" si="53"/>
        <v>0</v>
      </c>
      <c r="AS97" s="108"/>
      <c r="AT97" s="84">
        <f t="shared" si="54"/>
        <v>0</v>
      </c>
      <c r="AU97" s="108"/>
      <c r="AV97" s="84">
        <f t="shared" si="55"/>
        <v>0</v>
      </c>
      <c r="AW97" s="108"/>
      <c r="AX97" s="84">
        <f t="shared" si="56"/>
        <v>0</v>
      </c>
      <c r="AY97" s="108"/>
      <c r="AZ97" s="84">
        <f t="shared" si="57"/>
        <v>0</v>
      </c>
      <c r="BA97" s="108"/>
      <c r="BB97" s="84">
        <f t="shared" si="58"/>
        <v>0</v>
      </c>
      <c r="BC97" s="108"/>
      <c r="BD97" s="84">
        <f t="shared" si="59"/>
        <v>0</v>
      </c>
      <c r="BE97" s="108"/>
      <c r="BF97" s="84">
        <f t="shared" si="60"/>
        <v>0</v>
      </c>
      <c r="BG97" s="108"/>
      <c r="BH97" s="84">
        <f t="shared" si="61"/>
        <v>0</v>
      </c>
      <c r="BI97" s="108"/>
      <c r="BJ97" s="84">
        <f t="shared" si="61"/>
        <v>0</v>
      </c>
    </row>
    <row r="98" spans="1:62" s="106" customFormat="1" ht="12" x14ac:dyDescent="0.2">
      <c r="A98" s="242" t="s">
        <v>527</v>
      </c>
      <c r="B98" s="285" t="s">
        <v>1127</v>
      </c>
      <c r="C98" s="86">
        <v>3000</v>
      </c>
      <c r="D98" s="7" t="s">
        <v>863</v>
      </c>
      <c r="E98" s="247">
        <v>0.57999999999999996</v>
      </c>
      <c r="F98" s="87">
        <f t="shared" si="37"/>
        <v>1740</v>
      </c>
      <c r="G98" s="88">
        <f t="shared" si="38"/>
        <v>0</v>
      </c>
      <c r="H98" s="88">
        <f t="shared" si="39"/>
        <v>0</v>
      </c>
      <c r="I98" s="105"/>
      <c r="J98" s="89">
        <f>C98-(O98+Q98+S98+U98+W98+Y98+AA98+AC98+AE98+AG98+AI98+AK98+AM98+AO98+AQ98+AS98+AU98+AW98+AY98+BA98+BC98+BE98+BG98+BI98)</f>
        <v>3000</v>
      </c>
      <c r="K98" s="90">
        <f t="shared" si="40"/>
        <v>1739.9999999999998</v>
      </c>
      <c r="L98" s="91">
        <f t="shared" si="41"/>
        <v>0</v>
      </c>
      <c r="M98" s="91">
        <f t="shared" si="62"/>
        <v>0</v>
      </c>
      <c r="O98" s="109"/>
      <c r="P98" s="93">
        <f>O98*E98</f>
        <v>0</v>
      </c>
      <c r="Q98" s="109"/>
      <c r="R98" s="93">
        <f t="shared" si="42"/>
        <v>0</v>
      </c>
      <c r="S98" s="109"/>
      <c r="T98" s="93">
        <f t="shared" si="43"/>
        <v>0</v>
      </c>
      <c r="U98" s="109"/>
      <c r="V98" s="93">
        <f t="shared" si="44"/>
        <v>0</v>
      </c>
      <c r="W98" s="109"/>
      <c r="X98" s="93">
        <f t="shared" si="45"/>
        <v>0</v>
      </c>
      <c r="Y98" s="109"/>
      <c r="Z98" s="93">
        <f t="shared" si="46"/>
        <v>0</v>
      </c>
      <c r="AA98" s="109"/>
      <c r="AB98" s="93">
        <f t="shared" si="47"/>
        <v>0</v>
      </c>
      <c r="AC98" s="109"/>
      <c r="AD98" s="93">
        <f t="shared" si="48"/>
        <v>0</v>
      </c>
      <c r="AE98" s="109"/>
      <c r="AF98" s="93">
        <f t="shared" si="49"/>
        <v>0</v>
      </c>
      <c r="AG98" s="109"/>
      <c r="AH98" s="93">
        <f t="shared" si="50"/>
        <v>0</v>
      </c>
      <c r="AI98" s="109"/>
      <c r="AJ98" s="93">
        <f t="shared" si="51"/>
        <v>0</v>
      </c>
      <c r="AK98" s="109"/>
      <c r="AL98" s="93">
        <f t="shared" si="51"/>
        <v>0</v>
      </c>
      <c r="AM98" s="109"/>
      <c r="AN98" s="93">
        <f>AM98*AC98</f>
        <v>0</v>
      </c>
      <c r="AO98" s="109"/>
      <c r="AP98" s="93">
        <f t="shared" si="52"/>
        <v>0</v>
      </c>
      <c r="AQ98" s="109"/>
      <c r="AR98" s="93">
        <f t="shared" si="53"/>
        <v>0</v>
      </c>
      <c r="AS98" s="109"/>
      <c r="AT98" s="93">
        <f t="shared" si="54"/>
        <v>0</v>
      </c>
      <c r="AU98" s="109"/>
      <c r="AV98" s="93">
        <f t="shared" si="55"/>
        <v>0</v>
      </c>
      <c r="AW98" s="109"/>
      <c r="AX98" s="93">
        <f t="shared" si="56"/>
        <v>0</v>
      </c>
      <c r="AY98" s="109"/>
      <c r="AZ98" s="93">
        <f t="shared" si="57"/>
        <v>0</v>
      </c>
      <c r="BA98" s="109"/>
      <c r="BB98" s="93">
        <f t="shared" si="58"/>
        <v>0</v>
      </c>
      <c r="BC98" s="109"/>
      <c r="BD98" s="93">
        <f t="shared" si="59"/>
        <v>0</v>
      </c>
      <c r="BE98" s="109"/>
      <c r="BF98" s="93">
        <f t="shared" si="60"/>
        <v>0</v>
      </c>
      <c r="BG98" s="109"/>
      <c r="BH98" s="93">
        <f t="shared" si="61"/>
        <v>0</v>
      </c>
      <c r="BI98" s="109"/>
      <c r="BJ98" s="93">
        <f t="shared" si="61"/>
        <v>0</v>
      </c>
    </row>
    <row r="99" spans="1:62" s="106" customFormat="1" ht="12" x14ac:dyDescent="0.2">
      <c r="A99" s="240"/>
      <c r="B99" s="304"/>
      <c r="C99" s="103"/>
      <c r="D99" s="5"/>
      <c r="E99" s="248"/>
      <c r="F99" s="68"/>
      <c r="G99" s="69"/>
      <c r="H99" s="69"/>
      <c r="I99" s="105"/>
      <c r="J99" s="95"/>
      <c r="K99" s="96"/>
      <c r="L99" s="97"/>
      <c r="M99" s="97"/>
      <c r="O99" s="107"/>
      <c r="P99" s="99"/>
      <c r="Q99" s="107"/>
      <c r="R99" s="99"/>
      <c r="S99" s="107"/>
      <c r="T99" s="99"/>
      <c r="U99" s="107"/>
      <c r="V99" s="99"/>
      <c r="W99" s="107"/>
      <c r="X99" s="99"/>
      <c r="Y99" s="107"/>
      <c r="Z99" s="99"/>
      <c r="AA99" s="107"/>
      <c r="AB99" s="99"/>
      <c r="AC99" s="107"/>
      <c r="AD99" s="99"/>
      <c r="AE99" s="107"/>
      <c r="AF99" s="99"/>
      <c r="AG99" s="107"/>
      <c r="AH99" s="99"/>
      <c r="AI99" s="107"/>
      <c r="AJ99" s="99"/>
      <c r="AK99" s="107"/>
      <c r="AL99" s="99"/>
      <c r="AM99" s="107"/>
      <c r="AN99" s="99"/>
      <c r="AO99" s="107"/>
      <c r="AP99" s="99"/>
      <c r="AQ99" s="107"/>
      <c r="AR99" s="99"/>
      <c r="AS99" s="107"/>
      <c r="AT99" s="99"/>
      <c r="AU99" s="107"/>
      <c r="AV99" s="99"/>
      <c r="AW99" s="107"/>
      <c r="AX99" s="99"/>
      <c r="AY99" s="107"/>
      <c r="AZ99" s="99"/>
      <c r="BA99" s="107"/>
      <c r="BB99" s="99"/>
      <c r="BC99" s="107"/>
      <c r="BD99" s="99"/>
      <c r="BE99" s="107"/>
      <c r="BF99" s="99"/>
      <c r="BG99" s="107"/>
      <c r="BH99" s="99"/>
      <c r="BI99" s="107"/>
      <c r="BJ99" s="99"/>
    </row>
    <row r="100" spans="1:62" s="106" customFormat="1" ht="12" x14ac:dyDescent="0.2">
      <c r="A100" s="241" t="s">
        <v>528</v>
      </c>
      <c r="B100" s="284" t="s">
        <v>1128</v>
      </c>
      <c r="C100" s="77">
        <v>10000</v>
      </c>
      <c r="D100" s="104" t="s">
        <v>863</v>
      </c>
      <c r="E100" s="246">
        <v>0.24</v>
      </c>
      <c r="F100" s="78">
        <f t="shared" si="37"/>
        <v>2400</v>
      </c>
      <c r="G100" s="79">
        <f t="shared" si="38"/>
        <v>0</v>
      </c>
      <c r="H100" s="79">
        <f t="shared" si="39"/>
        <v>0</v>
      </c>
      <c r="I100" s="105"/>
      <c r="J100" s="80">
        <f>C100-(O100+Q100+S100+U100+W100+Y100+AA100+AC100+AE100+AG100+AI100+AK100+AM100+AO100+AQ100+AS100+AU100+AW100+AY100+BA100+BC100+BE100+BG100+BI100)</f>
        <v>10000</v>
      </c>
      <c r="K100" s="81">
        <f t="shared" si="40"/>
        <v>2400</v>
      </c>
      <c r="L100" s="82">
        <f t="shared" si="41"/>
        <v>0</v>
      </c>
      <c r="M100" s="82">
        <f t="shared" si="62"/>
        <v>0</v>
      </c>
      <c r="O100" s="108"/>
      <c r="P100" s="84">
        <f>O100*E100</f>
        <v>0</v>
      </c>
      <c r="Q100" s="108"/>
      <c r="R100" s="84">
        <f t="shared" si="42"/>
        <v>0</v>
      </c>
      <c r="S100" s="108"/>
      <c r="T100" s="84">
        <f t="shared" si="43"/>
        <v>0</v>
      </c>
      <c r="U100" s="108"/>
      <c r="V100" s="84">
        <f t="shared" si="44"/>
        <v>0</v>
      </c>
      <c r="W100" s="108"/>
      <c r="X100" s="84">
        <f t="shared" si="45"/>
        <v>0</v>
      </c>
      <c r="Y100" s="108"/>
      <c r="Z100" s="84">
        <f t="shared" si="46"/>
        <v>0</v>
      </c>
      <c r="AA100" s="108"/>
      <c r="AB100" s="84">
        <f t="shared" si="47"/>
        <v>0</v>
      </c>
      <c r="AC100" s="108"/>
      <c r="AD100" s="84">
        <f t="shared" si="48"/>
        <v>0</v>
      </c>
      <c r="AE100" s="108"/>
      <c r="AF100" s="84">
        <f t="shared" si="49"/>
        <v>0</v>
      </c>
      <c r="AG100" s="108"/>
      <c r="AH100" s="84">
        <f t="shared" si="50"/>
        <v>0</v>
      </c>
      <c r="AI100" s="108"/>
      <c r="AJ100" s="84">
        <f t="shared" si="51"/>
        <v>0</v>
      </c>
      <c r="AK100" s="108"/>
      <c r="AL100" s="84">
        <f t="shared" si="51"/>
        <v>0</v>
      </c>
      <c r="AM100" s="108"/>
      <c r="AN100" s="84">
        <f>AM100*AC100</f>
        <v>0</v>
      </c>
      <c r="AO100" s="108"/>
      <c r="AP100" s="84">
        <f t="shared" si="52"/>
        <v>0</v>
      </c>
      <c r="AQ100" s="108"/>
      <c r="AR100" s="84">
        <f t="shared" si="53"/>
        <v>0</v>
      </c>
      <c r="AS100" s="108"/>
      <c r="AT100" s="84">
        <f t="shared" si="54"/>
        <v>0</v>
      </c>
      <c r="AU100" s="108"/>
      <c r="AV100" s="84">
        <f t="shared" si="55"/>
        <v>0</v>
      </c>
      <c r="AW100" s="108"/>
      <c r="AX100" s="84">
        <f t="shared" si="56"/>
        <v>0</v>
      </c>
      <c r="AY100" s="108"/>
      <c r="AZ100" s="84">
        <f t="shared" si="57"/>
        <v>0</v>
      </c>
      <c r="BA100" s="108"/>
      <c r="BB100" s="84">
        <f t="shared" si="58"/>
        <v>0</v>
      </c>
      <c r="BC100" s="108"/>
      <c r="BD100" s="84">
        <f t="shared" si="59"/>
        <v>0</v>
      </c>
      <c r="BE100" s="108"/>
      <c r="BF100" s="84">
        <f t="shared" si="60"/>
        <v>0</v>
      </c>
      <c r="BG100" s="108"/>
      <c r="BH100" s="84">
        <f t="shared" si="61"/>
        <v>0</v>
      </c>
      <c r="BI100" s="108"/>
      <c r="BJ100" s="84">
        <f t="shared" si="61"/>
        <v>0</v>
      </c>
    </row>
    <row r="101" spans="1:62" s="106" customFormat="1" ht="12" x14ac:dyDescent="0.2">
      <c r="A101" s="245" t="s">
        <v>529</v>
      </c>
      <c r="B101" s="286" t="s">
        <v>1129</v>
      </c>
      <c r="C101" s="101">
        <v>20000</v>
      </c>
      <c r="D101" s="8" t="s">
        <v>863</v>
      </c>
      <c r="E101" s="257">
        <v>0.19</v>
      </c>
      <c r="F101" s="102">
        <f t="shared" si="37"/>
        <v>3800</v>
      </c>
      <c r="G101" s="88">
        <f t="shared" si="38"/>
        <v>0</v>
      </c>
      <c r="H101" s="88">
        <f t="shared" si="39"/>
        <v>0</v>
      </c>
      <c r="I101" s="105"/>
      <c r="J101" s="89">
        <f>C101-(O101+Q101+S101+U101+W101+Y101+AA101+AC101+AE101+AG101+AI101+AK101+AM101+AO101+AQ101+AS101+AU101+AW101+AY101+BA101+BC101+BE101+BG101+BI101)</f>
        <v>20000</v>
      </c>
      <c r="K101" s="90">
        <f t="shared" si="40"/>
        <v>3800</v>
      </c>
      <c r="L101" s="91">
        <f t="shared" si="41"/>
        <v>0</v>
      </c>
      <c r="M101" s="91">
        <f t="shared" si="62"/>
        <v>0</v>
      </c>
      <c r="O101" s="109"/>
      <c r="P101" s="93">
        <f>O101*E101</f>
        <v>0</v>
      </c>
      <c r="Q101" s="109"/>
      <c r="R101" s="93">
        <f t="shared" si="42"/>
        <v>0</v>
      </c>
      <c r="S101" s="109"/>
      <c r="T101" s="93">
        <f t="shared" si="43"/>
        <v>0</v>
      </c>
      <c r="U101" s="109"/>
      <c r="V101" s="93">
        <f t="shared" si="44"/>
        <v>0</v>
      </c>
      <c r="W101" s="109"/>
      <c r="X101" s="93">
        <f t="shared" si="45"/>
        <v>0</v>
      </c>
      <c r="Y101" s="109"/>
      <c r="Z101" s="93">
        <f t="shared" si="46"/>
        <v>0</v>
      </c>
      <c r="AA101" s="109"/>
      <c r="AB101" s="93">
        <f t="shared" si="47"/>
        <v>0</v>
      </c>
      <c r="AC101" s="109"/>
      <c r="AD101" s="93">
        <f t="shared" si="48"/>
        <v>0</v>
      </c>
      <c r="AE101" s="109"/>
      <c r="AF101" s="93">
        <f t="shared" si="49"/>
        <v>0</v>
      </c>
      <c r="AG101" s="109"/>
      <c r="AH101" s="93">
        <f t="shared" si="50"/>
        <v>0</v>
      </c>
      <c r="AI101" s="109"/>
      <c r="AJ101" s="93">
        <f t="shared" si="51"/>
        <v>0</v>
      </c>
      <c r="AK101" s="109"/>
      <c r="AL101" s="93">
        <f t="shared" si="51"/>
        <v>0</v>
      </c>
      <c r="AM101" s="109"/>
      <c r="AN101" s="93">
        <f>AM101*AC101</f>
        <v>0</v>
      </c>
      <c r="AO101" s="109"/>
      <c r="AP101" s="93">
        <f t="shared" si="52"/>
        <v>0</v>
      </c>
      <c r="AQ101" s="109"/>
      <c r="AR101" s="93">
        <f t="shared" si="53"/>
        <v>0</v>
      </c>
      <c r="AS101" s="109"/>
      <c r="AT101" s="93">
        <f t="shared" si="54"/>
        <v>0</v>
      </c>
      <c r="AU101" s="109"/>
      <c r="AV101" s="93">
        <f t="shared" si="55"/>
        <v>0</v>
      </c>
      <c r="AW101" s="109"/>
      <c r="AX101" s="93">
        <f t="shared" si="56"/>
        <v>0</v>
      </c>
      <c r="AY101" s="109"/>
      <c r="AZ101" s="93">
        <f t="shared" si="57"/>
        <v>0</v>
      </c>
      <c r="BA101" s="109"/>
      <c r="BB101" s="93">
        <f t="shared" si="58"/>
        <v>0</v>
      </c>
      <c r="BC101" s="109"/>
      <c r="BD101" s="93">
        <f t="shared" si="59"/>
        <v>0</v>
      </c>
      <c r="BE101" s="109"/>
      <c r="BF101" s="93">
        <f t="shared" si="60"/>
        <v>0</v>
      </c>
      <c r="BG101" s="109"/>
      <c r="BH101" s="93">
        <f t="shared" si="61"/>
        <v>0</v>
      </c>
      <c r="BI101" s="109"/>
      <c r="BJ101" s="93">
        <f t="shared" si="61"/>
        <v>0</v>
      </c>
    </row>
    <row r="102" spans="1:62" s="106" customFormat="1" ht="12" x14ac:dyDescent="0.2">
      <c r="A102" s="241" t="s">
        <v>530</v>
      </c>
      <c r="B102" s="284" t="s">
        <v>1130</v>
      </c>
      <c r="C102" s="77">
        <v>15200</v>
      </c>
      <c r="D102" s="104" t="s">
        <v>863</v>
      </c>
      <c r="E102" s="246">
        <v>0.23</v>
      </c>
      <c r="F102" s="78">
        <f t="shared" si="37"/>
        <v>3496</v>
      </c>
      <c r="G102" s="79">
        <f t="shared" si="38"/>
        <v>0</v>
      </c>
      <c r="H102" s="79">
        <f t="shared" si="39"/>
        <v>0</v>
      </c>
      <c r="I102" s="105"/>
      <c r="J102" s="80">
        <f>C102-(O102+Q102+S102+U102+W102+Y102+AA102+AC102+AE102+AG102+AI102+AK102+AM102+AO102+AQ102+AS102+AU102+AW102+AY102+BA102+BC102+BE102+BG102+BI102)</f>
        <v>15200</v>
      </c>
      <c r="K102" s="81">
        <f t="shared" si="40"/>
        <v>3496</v>
      </c>
      <c r="L102" s="82">
        <f t="shared" si="41"/>
        <v>0</v>
      </c>
      <c r="M102" s="82">
        <f t="shared" si="62"/>
        <v>0</v>
      </c>
      <c r="O102" s="108"/>
      <c r="P102" s="84">
        <f>O102*E102</f>
        <v>0</v>
      </c>
      <c r="Q102" s="108"/>
      <c r="R102" s="84">
        <f t="shared" si="42"/>
        <v>0</v>
      </c>
      <c r="S102" s="108"/>
      <c r="T102" s="84">
        <f t="shared" si="43"/>
        <v>0</v>
      </c>
      <c r="U102" s="108"/>
      <c r="V102" s="84">
        <f t="shared" si="44"/>
        <v>0</v>
      </c>
      <c r="W102" s="108"/>
      <c r="X102" s="84">
        <f t="shared" si="45"/>
        <v>0</v>
      </c>
      <c r="Y102" s="108"/>
      <c r="Z102" s="84">
        <f t="shared" si="46"/>
        <v>0</v>
      </c>
      <c r="AA102" s="108"/>
      <c r="AB102" s="84">
        <f t="shared" si="47"/>
        <v>0</v>
      </c>
      <c r="AC102" s="108"/>
      <c r="AD102" s="84">
        <f t="shared" si="48"/>
        <v>0</v>
      </c>
      <c r="AE102" s="108"/>
      <c r="AF102" s="84">
        <f t="shared" si="49"/>
        <v>0</v>
      </c>
      <c r="AG102" s="108"/>
      <c r="AH102" s="84">
        <f t="shared" si="50"/>
        <v>0</v>
      </c>
      <c r="AI102" s="108"/>
      <c r="AJ102" s="84">
        <f t="shared" si="51"/>
        <v>0</v>
      </c>
      <c r="AK102" s="108"/>
      <c r="AL102" s="84">
        <f t="shared" si="51"/>
        <v>0</v>
      </c>
      <c r="AM102" s="108"/>
      <c r="AN102" s="84">
        <f>AM102*AC102</f>
        <v>0</v>
      </c>
      <c r="AO102" s="108"/>
      <c r="AP102" s="84">
        <f t="shared" si="52"/>
        <v>0</v>
      </c>
      <c r="AQ102" s="108"/>
      <c r="AR102" s="84">
        <f t="shared" si="53"/>
        <v>0</v>
      </c>
      <c r="AS102" s="108"/>
      <c r="AT102" s="84">
        <f t="shared" si="54"/>
        <v>0</v>
      </c>
      <c r="AU102" s="108"/>
      <c r="AV102" s="84">
        <f t="shared" si="55"/>
        <v>0</v>
      </c>
      <c r="AW102" s="108"/>
      <c r="AX102" s="84">
        <f t="shared" si="56"/>
        <v>0</v>
      </c>
      <c r="AY102" s="108"/>
      <c r="AZ102" s="84">
        <f t="shared" si="57"/>
        <v>0</v>
      </c>
      <c r="BA102" s="108"/>
      <c r="BB102" s="84">
        <f t="shared" si="58"/>
        <v>0</v>
      </c>
      <c r="BC102" s="108"/>
      <c r="BD102" s="84">
        <f t="shared" si="59"/>
        <v>0</v>
      </c>
      <c r="BE102" s="108"/>
      <c r="BF102" s="84">
        <f t="shared" si="60"/>
        <v>0</v>
      </c>
      <c r="BG102" s="108"/>
      <c r="BH102" s="84">
        <f t="shared" si="61"/>
        <v>0</v>
      </c>
      <c r="BI102" s="108"/>
      <c r="BJ102" s="84">
        <f t="shared" si="61"/>
        <v>0</v>
      </c>
    </row>
    <row r="103" spans="1:62" s="106" customFormat="1" ht="12" x14ac:dyDescent="0.2">
      <c r="A103" s="240"/>
      <c r="B103" s="304"/>
      <c r="C103" s="103"/>
      <c r="D103" s="5"/>
      <c r="E103" s="248"/>
      <c r="F103" s="68"/>
      <c r="G103" s="69"/>
      <c r="H103" s="69"/>
      <c r="I103" s="105"/>
      <c r="J103" s="95"/>
      <c r="K103" s="96"/>
      <c r="L103" s="97"/>
      <c r="M103" s="97"/>
      <c r="O103" s="107"/>
      <c r="P103" s="99"/>
      <c r="Q103" s="107"/>
      <c r="R103" s="99"/>
      <c r="S103" s="107"/>
      <c r="T103" s="99"/>
      <c r="U103" s="107"/>
      <c r="V103" s="99"/>
      <c r="W103" s="107"/>
      <c r="X103" s="99"/>
      <c r="Y103" s="107"/>
      <c r="Z103" s="99"/>
      <c r="AA103" s="107"/>
      <c r="AB103" s="99"/>
      <c r="AC103" s="107"/>
      <c r="AD103" s="99"/>
      <c r="AE103" s="107"/>
      <c r="AF103" s="99"/>
      <c r="AG103" s="107"/>
      <c r="AH103" s="99"/>
      <c r="AI103" s="107"/>
      <c r="AJ103" s="99"/>
      <c r="AK103" s="107"/>
      <c r="AL103" s="99"/>
      <c r="AM103" s="107"/>
      <c r="AN103" s="99"/>
      <c r="AO103" s="107"/>
      <c r="AP103" s="99"/>
      <c r="AQ103" s="107"/>
      <c r="AR103" s="99"/>
      <c r="AS103" s="107"/>
      <c r="AT103" s="99"/>
      <c r="AU103" s="107"/>
      <c r="AV103" s="99"/>
      <c r="AW103" s="107"/>
      <c r="AX103" s="99"/>
      <c r="AY103" s="107"/>
      <c r="AZ103" s="99"/>
      <c r="BA103" s="107"/>
      <c r="BB103" s="99"/>
      <c r="BC103" s="107"/>
      <c r="BD103" s="99"/>
      <c r="BE103" s="107"/>
      <c r="BF103" s="99"/>
      <c r="BG103" s="107"/>
      <c r="BH103" s="99"/>
      <c r="BI103" s="107"/>
      <c r="BJ103" s="99"/>
    </row>
    <row r="104" spans="1:62" s="106" customFormat="1" ht="12" x14ac:dyDescent="0.2">
      <c r="A104" s="241" t="s">
        <v>531</v>
      </c>
      <c r="B104" s="284" t="s">
        <v>1131</v>
      </c>
      <c r="C104" s="77">
        <v>2000</v>
      </c>
      <c r="D104" s="104" t="s">
        <v>863</v>
      </c>
      <c r="E104" s="246">
        <v>0.57999999999999996</v>
      </c>
      <c r="F104" s="78">
        <f t="shared" si="37"/>
        <v>1160</v>
      </c>
      <c r="G104" s="79">
        <f t="shared" si="38"/>
        <v>0</v>
      </c>
      <c r="H104" s="79">
        <f t="shared" si="39"/>
        <v>0</v>
      </c>
      <c r="I104" s="105"/>
      <c r="J104" s="80">
        <f>C104-(O104+Q104+S104+U104+W104+Y104+AA104+AC104+AE104+AG104+AI104+AK104+AM104+AO104+AQ104+AS104+AU104+AW104+AY104+BA104+BC104+BE104+BG104+BI104)</f>
        <v>2000</v>
      </c>
      <c r="K104" s="81">
        <f t="shared" si="40"/>
        <v>1160</v>
      </c>
      <c r="L104" s="82">
        <f t="shared" si="41"/>
        <v>0</v>
      </c>
      <c r="M104" s="82">
        <f t="shared" si="62"/>
        <v>0</v>
      </c>
      <c r="O104" s="108"/>
      <c r="P104" s="84">
        <f>O104*E104</f>
        <v>0</v>
      </c>
      <c r="Q104" s="108"/>
      <c r="R104" s="84">
        <f t="shared" si="42"/>
        <v>0</v>
      </c>
      <c r="S104" s="108"/>
      <c r="T104" s="84">
        <f t="shared" si="43"/>
        <v>0</v>
      </c>
      <c r="U104" s="108"/>
      <c r="V104" s="84">
        <f t="shared" si="44"/>
        <v>0</v>
      </c>
      <c r="W104" s="108"/>
      <c r="X104" s="84">
        <f t="shared" si="45"/>
        <v>0</v>
      </c>
      <c r="Y104" s="108"/>
      <c r="Z104" s="84">
        <f t="shared" si="46"/>
        <v>0</v>
      </c>
      <c r="AA104" s="108"/>
      <c r="AB104" s="84">
        <f t="shared" si="47"/>
        <v>0</v>
      </c>
      <c r="AC104" s="108"/>
      <c r="AD104" s="84">
        <f t="shared" si="48"/>
        <v>0</v>
      </c>
      <c r="AE104" s="108"/>
      <c r="AF104" s="84">
        <f t="shared" si="49"/>
        <v>0</v>
      </c>
      <c r="AG104" s="108"/>
      <c r="AH104" s="84">
        <f t="shared" si="50"/>
        <v>0</v>
      </c>
      <c r="AI104" s="108"/>
      <c r="AJ104" s="84">
        <f t="shared" si="51"/>
        <v>0</v>
      </c>
      <c r="AK104" s="108"/>
      <c r="AL104" s="84">
        <f t="shared" si="51"/>
        <v>0</v>
      </c>
      <c r="AM104" s="108"/>
      <c r="AN104" s="84">
        <f>AM104*AC104</f>
        <v>0</v>
      </c>
      <c r="AO104" s="108"/>
      <c r="AP104" s="84">
        <f t="shared" si="52"/>
        <v>0</v>
      </c>
      <c r="AQ104" s="108"/>
      <c r="AR104" s="84">
        <f t="shared" si="53"/>
        <v>0</v>
      </c>
      <c r="AS104" s="108"/>
      <c r="AT104" s="84">
        <f t="shared" si="54"/>
        <v>0</v>
      </c>
      <c r="AU104" s="108"/>
      <c r="AV104" s="84">
        <f t="shared" si="55"/>
        <v>0</v>
      </c>
      <c r="AW104" s="108"/>
      <c r="AX104" s="84">
        <f t="shared" si="56"/>
        <v>0</v>
      </c>
      <c r="AY104" s="108"/>
      <c r="AZ104" s="84">
        <f t="shared" si="57"/>
        <v>0</v>
      </c>
      <c r="BA104" s="108"/>
      <c r="BB104" s="84">
        <f t="shared" si="58"/>
        <v>0</v>
      </c>
      <c r="BC104" s="108"/>
      <c r="BD104" s="84">
        <f t="shared" si="59"/>
        <v>0</v>
      </c>
      <c r="BE104" s="108"/>
      <c r="BF104" s="84">
        <f t="shared" si="60"/>
        <v>0</v>
      </c>
      <c r="BG104" s="108"/>
      <c r="BH104" s="84">
        <f t="shared" si="61"/>
        <v>0</v>
      </c>
      <c r="BI104" s="108"/>
      <c r="BJ104" s="84">
        <f t="shared" si="61"/>
        <v>0</v>
      </c>
    </row>
    <row r="105" spans="1:62" s="106" customFormat="1" ht="12" x14ac:dyDescent="0.2">
      <c r="A105" s="242" t="s">
        <v>532</v>
      </c>
      <c r="B105" s="287" t="s">
        <v>1132</v>
      </c>
      <c r="C105" s="86">
        <v>1700</v>
      </c>
      <c r="D105" s="7" t="s">
        <v>863</v>
      </c>
      <c r="E105" s="247">
        <v>0.57999999999999996</v>
      </c>
      <c r="F105" s="87">
        <f t="shared" si="37"/>
        <v>986</v>
      </c>
      <c r="G105" s="88">
        <f t="shared" si="38"/>
        <v>0</v>
      </c>
      <c r="H105" s="88">
        <f t="shared" si="39"/>
        <v>0</v>
      </c>
      <c r="I105" s="105"/>
      <c r="J105" s="89">
        <f>C105-(O105+Q105+S105+U105+W105+Y105+AA105+AC105+AE105+AG105+AI105+AK105+AM105+AO105+AQ105+AS105+AU105+AW105+AY105+BA105+BC105+BE105+BG105+BI105)</f>
        <v>1700</v>
      </c>
      <c r="K105" s="90">
        <f t="shared" si="40"/>
        <v>985.99999999999989</v>
      </c>
      <c r="L105" s="91">
        <f t="shared" si="41"/>
        <v>0</v>
      </c>
      <c r="M105" s="91">
        <f t="shared" si="62"/>
        <v>0</v>
      </c>
      <c r="O105" s="109"/>
      <c r="P105" s="93">
        <f>O105*E105</f>
        <v>0</v>
      </c>
      <c r="Q105" s="109"/>
      <c r="R105" s="93">
        <f t="shared" si="42"/>
        <v>0</v>
      </c>
      <c r="S105" s="109"/>
      <c r="T105" s="93">
        <f t="shared" si="43"/>
        <v>0</v>
      </c>
      <c r="U105" s="109"/>
      <c r="V105" s="93">
        <f t="shared" si="44"/>
        <v>0</v>
      </c>
      <c r="W105" s="109"/>
      <c r="X105" s="93">
        <f t="shared" si="45"/>
        <v>0</v>
      </c>
      <c r="Y105" s="109"/>
      <c r="Z105" s="93">
        <f t="shared" si="46"/>
        <v>0</v>
      </c>
      <c r="AA105" s="109"/>
      <c r="AB105" s="93">
        <f t="shared" si="47"/>
        <v>0</v>
      </c>
      <c r="AC105" s="109"/>
      <c r="AD105" s="93">
        <f t="shared" si="48"/>
        <v>0</v>
      </c>
      <c r="AE105" s="109"/>
      <c r="AF105" s="93">
        <f t="shared" si="49"/>
        <v>0</v>
      </c>
      <c r="AG105" s="109"/>
      <c r="AH105" s="93">
        <f t="shared" si="50"/>
        <v>0</v>
      </c>
      <c r="AI105" s="109"/>
      <c r="AJ105" s="93">
        <f t="shared" si="51"/>
        <v>0</v>
      </c>
      <c r="AK105" s="109"/>
      <c r="AL105" s="93">
        <f t="shared" si="51"/>
        <v>0</v>
      </c>
      <c r="AM105" s="109"/>
      <c r="AN105" s="93">
        <f>AM105*AC105</f>
        <v>0</v>
      </c>
      <c r="AO105" s="109"/>
      <c r="AP105" s="93">
        <f t="shared" si="52"/>
        <v>0</v>
      </c>
      <c r="AQ105" s="109"/>
      <c r="AR105" s="93">
        <f t="shared" si="53"/>
        <v>0</v>
      </c>
      <c r="AS105" s="109"/>
      <c r="AT105" s="93">
        <f t="shared" si="54"/>
        <v>0</v>
      </c>
      <c r="AU105" s="109"/>
      <c r="AV105" s="93">
        <f t="shared" si="55"/>
        <v>0</v>
      </c>
      <c r="AW105" s="109"/>
      <c r="AX105" s="93">
        <f t="shared" si="56"/>
        <v>0</v>
      </c>
      <c r="AY105" s="109"/>
      <c r="AZ105" s="93">
        <f t="shared" si="57"/>
        <v>0</v>
      </c>
      <c r="BA105" s="109"/>
      <c r="BB105" s="93">
        <f t="shared" si="58"/>
        <v>0</v>
      </c>
      <c r="BC105" s="109"/>
      <c r="BD105" s="93">
        <f t="shared" si="59"/>
        <v>0</v>
      </c>
      <c r="BE105" s="109"/>
      <c r="BF105" s="93">
        <f t="shared" si="60"/>
        <v>0</v>
      </c>
      <c r="BG105" s="109"/>
      <c r="BH105" s="93">
        <f t="shared" si="61"/>
        <v>0</v>
      </c>
      <c r="BI105" s="109"/>
      <c r="BJ105" s="93">
        <f t="shared" si="61"/>
        <v>0</v>
      </c>
    </row>
    <row r="106" spans="1:62" s="106" customFormat="1" ht="12" x14ac:dyDescent="0.2">
      <c r="A106" s="241" t="s">
        <v>533</v>
      </c>
      <c r="B106" s="284" t="s">
        <v>1133</v>
      </c>
      <c r="C106" s="77">
        <v>14000</v>
      </c>
      <c r="D106" s="104" t="s">
        <v>863</v>
      </c>
      <c r="E106" s="246">
        <v>0.19</v>
      </c>
      <c r="F106" s="78">
        <f t="shared" si="37"/>
        <v>2660</v>
      </c>
      <c r="G106" s="79">
        <f t="shared" si="38"/>
        <v>0</v>
      </c>
      <c r="H106" s="79">
        <f t="shared" si="39"/>
        <v>0</v>
      </c>
      <c r="I106" s="105"/>
      <c r="J106" s="80">
        <f>C106-(O106+Q106+S106+U106+W106+Y106+AA106+AC106+AE106+AG106+AI106+AK106+AM106+AO106+AQ106+AS106+AU106+AW106+AY106+BA106+BC106+BE106+BG106+BI106)</f>
        <v>14000</v>
      </c>
      <c r="K106" s="81">
        <f t="shared" si="40"/>
        <v>2660</v>
      </c>
      <c r="L106" s="82">
        <f t="shared" si="41"/>
        <v>0</v>
      </c>
      <c r="M106" s="82">
        <f t="shared" si="62"/>
        <v>0</v>
      </c>
      <c r="O106" s="108"/>
      <c r="P106" s="84">
        <f>O106*E106</f>
        <v>0</v>
      </c>
      <c r="Q106" s="108"/>
      <c r="R106" s="84">
        <f t="shared" si="42"/>
        <v>0</v>
      </c>
      <c r="S106" s="108"/>
      <c r="T106" s="84">
        <f t="shared" si="43"/>
        <v>0</v>
      </c>
      <c r="U106" s="108"/>
      <c r="V106" s="84">
        <f t="shared" si="44"/>
        <v>0</v>
      </c>
      <c r="W106" s="108"/>
      <c r="X106" s="84">
        <f t="shared" si="45"/>
        <v>0</v>
      </c>
      <c r="Y106" s="108"/>
      <c r="Z106" s="84">
        <f t="shared" si="46"/>
        <v>0</v>
      </c>
      <c r="AA106" s="108"/>
      <c r="AB106" s="84">
        <f t="shared" si="47"/>
        <v>0</v>
      </c>
      <c r="AC106" s="108"/>
      <c r="AD106" s="84">
        <f t="shared" si="48"/>
        <v>0</v>
      </c>
      <c r="AE106" s="108"/>
      <c r="AF106" s="84">
        <f t="shared" si="49"/>
        <v>0</v>
      </c>
      <c r="AG106" s="108"/>
      <c r="AH106" s="84">
        <f t="shared" si="50"/>
        <v>0</v>
      </c>
      <c r="AI106" s="108"/>
      <c r="AJ106" s="84">
        <f t="shared" si="51"/>
        <v>0</v>
      </c>
      <c r="AK106" s="108"/>
      <c r="AL106" s="84">
        <f t="shared" si="51"/>
        <v>0</v>
      </c>
      <c r="AM106" s="108"/>
      <c r="AN106" s="84">
        <f>AM106*AC106</f>
        <v>0</v>
      </c>
      <c r="AO106" s="108"/>
      <c r="AP106" s="84">
        <f t="shared" si="52"/>
        <v>0</v>
      </c>
      <c r="AQ106" s="108"/>
      <c r="AR106" s="84">
        <f t="shared" si="53"/>
        <v>0</v>
      </c>
      <c r="AS106" s="108"/>
      <c r="AT106" s="84">
        <f t="shared" si="54"/>
        <v>0</v>
      </c>
      <c r="AU106" s="108"/>
      <c r="AV106" s="84">
        <f t="shared" si="55"/>
        <v>0</v>
      </c>
      <c r="AW106" s="108"/>
      <c r="AX106" s="84">
        <f t="shared" si="56"/>
        <v>0</v>
      </c>
      <c r="AY106" s="108"/>
      <c r="AZ106" s="84">
        <f t="shared" si="57"/>
        <v>0</v>
      </c>
      <c r="BA106" s="108"/>
      <c r="BB106" s="84">
        <f t="shared" si="58"/>
        <v>0</v>
      </c>
      <c r="BC106" s="108"/>
      <c r="BD106" s="84">
        <f t="shared" si="59"/>
        <v>0</v>
      </c>
      <c r="BE106" s="108"/>
      <c r="BF106" s="84">
        <f t="shared" si="60"/>
        <v>0</v>
      </c>
      <c r="BG106" s="108"/>
      <c r="BH106" s="84">
        <f t="shared" si="61"/>
        <v>0</v>
      </c>
      <c r="BI106" s="108"/>
      <c r="BJ106" s="84">
        <f t="shared" si="61"/>
        <v>0</v>
      </c>
    </row>
    <row r="107" spans="1:62" s="106" customFormat="1" ht="12" x14ac:dyDescent="0.2">
      <c r="A107" s="242" t="s">
        <v>534</v>
      </c>
      <c r="B107" s="285" t="s">
        <v>1134</v>
      </c>
      <c r="C107" s="86">
        <v>66800</v>
      </c>
      <c r="D107" s="7" t="s">
        <v>863</v>
      </c>
      <c r="E107" s="247">
        <v>0.17</v>
      </c>
      <c r="F107" s="87">
        <f t="shared" si="37"/>
        <v>11356</v>
      </c>
      <c r="G107" s="88">
        <f t="shared" si="38"/>
        <v>0</v>
      </c>
      <c r="H107" s="88">
        <f t="shared" si="39"/>
        <v>0</v>
      </c>
      <c r="I107" s="105"/>
      <c r="J107" s="89">
        <f>C107-(O107+Q107+S107+U107+W107+Y107+AA107+AC107+AE107+AG107+AI107+AK107+AM107+AO107+AQ107+AS107+AU107+AW107+AY107+BA107+BC107+BE107+BG107+BI107)</f>
        <v>66800</v>
      </c>
      <c r="K107" s="90">
        <f t="shared" si="40"/>
        <v>11356</v>
      </c>
      <c r="L107" s="91">
        <f t="shared" si="41"/>
        <v>0</v>
      </c>
      <c r="M107" s="91">
        <f t="shared" si="62"/>
        <v>0</v>
      </c>
      <c r="O107" s="109"/>
      <c r="P107" s="93">
        <f>O107*E107</f>
        <v>0</v>
      </c>
      <c r="Q107" s="109"/>
      <c r="R107" s="93">
        <f t="shared" si="42"/>
        <v>0</v>
      </c>
      <c r="S107" s="109"/>
      <c r="T107" s="93">
        <f t="shared" si="43"/>
        <v>0</v>
      </c>
      <c r="U107" s="109"/>
      <c r="V107" s="93">
        <f t="shared" si="44"/>
        <v>0</v>
      </c>
      <c r="W107" s="109"/>
      <c r="X107" s="93">
        <f t="shared" si="45"/>
        <v>0</v>
      </c>
      <c r="Y107" s="109"/>
      <c r="Z107" s="93">
        <f t="shared" si="46"/>
        <v>0</v>
      </c>
      <c r="AA107" s="109"/>
      <c r="AB107" s="93">
        <f t="shared" si="47"/>
        <v>0</v>
      </c>
      <c r="AC107" s="109"/>
      <c r="AD107" s="93">
        <f t="shared" si="48"/>
        <v>0</v>
      </c>
      <c r="AE107" s="109"/>
      <c r="AF107" s="93">
        <f t="shared" si="49"/>
        <v>0</v>
      </c>
      <c r="AG107" s="109"/>
      <c r="AH107" s="93">
        <f t="shared" si="50"/>
        <v>0</v>
      </c>
      <c r="AI107" s="109"/>
      <c r="AJ107" s="93">
        <f t="shared" si="51"/>
        <v>0</v>
      </c>
      <c r="AK107" s="109"/>
      <c r="AL107" s="93">
        <f t="shared" si="51"/>
        <v>0</v>
      </c>
      <c r="AM107" s="109"/>
      <c r="AN107" s="93">
        <f>AM107*AC107</f>
        <v>0</v>
      </c>
      <c r="AO107" s="109"/>
      <c r="AP107" s="93">
        <f t="shared" si="52"/>
        <v>0</v>
      </c>
      <c r="AQ107" s="109"/>
      <c r="AR107" s="93">
        <f t="shared" si="53"/>
        <v>0</v>
      </c>
      <c r="AS107" s="109"/>
      <c r="AT107" s="93">
        <f t="shared" si="54"/>
        <v>0</v>
      </c>
      <c r="AU107" s="109"/>
      <c r="AV107" s="93">
        <f t="shared" si="55"/>
        <v>0</v>
      </c>
      <c r="AW107" s="109"/>
      <c r="AX107" s="93">
        <f t="shared" si="56"/>
        <v>0</v>
      </c>
      <c r="AY107" s="109"/>
      <c r="AZ107" s="93">
        <f t="shared" si="57"/>
        <v>0</v>
      </c>
      <c r="BA107" s="109"/>
      <c r="BB107" s="93">
        <f t="shared" si="58"/>
        <v>0</v>
      </c>
      <c r="BC107" s="109"/>
      <c r="BD107" s="93">
        <f t="shared" si="59"/>
        <v>0</v>
      </c>
      <c r="BE107" s="109"/>
      <c r="BF107" s="93">
        <f t="shared" si="60"/>
        <v>0</v>
      </c>
      <c r="BG107" s="109"/>
      <c r="BH107" s="93">
        <f t="shared" si="61"/>
        <v>0</v>
      </c>
      <c r="BI107" s="109"/>
      <c r="BJ107" s="93">
        <f t="shared" si="61"/>
        <v>0</v>
      </c>
    </row>
    <row r="108" spans="1:62" s="106" customFormat="1" ht="12" x14ac:dyDescent="0.2">
      <c r="A108" s="240"/>
      <c r="B108" s="304"/>
      <c r="C108" s="103"/>
      <c r="D108" s="5"/>
      <c r="E108" s="248"/>
      <c r="F108" s="68"/>
      <c r="G108" s="69"/>
      <c r="H108" s="69"/>
      <c r="I108" s="105"/>
      <c r="J108" s="95"/>
      <c r="K108" s="96"/>
      <c r="L108" s="97"/>
      <c r="M108" s="97"/>
      <c r="O108" s="107"/>
      <c r="P108" s="99"/>
      <c r="Q108" s="107"/>
      <c r="R108" s="99"/>
      <c r="S108" s="107"/>
      <c r="T108" s="99"/>
      <c r="U108" s="107"/>
      <c r="V108" s="99"/>
      <c r="W108" s="107"/>
      <c r="X108" s="99"/>
      <c r="Y108" s="107"/>
      <c r="Z108" s="99"/>
      <c r="AA108" s="107"/>
      <c r="AB108" s="99"/>
      <c r="AC108" s="107"/>
      <c r="AD108" s="99"/>
      <c r="AE108" s="107"/>
      <c r="AF108" s="99"/>
      <c r="AG108" s="107"/>
      <c r="AH108" s="99"/>
      <c r="AI108" s="107"/>
      <c r="AJ108" s="99"/>
      <c r="AK108" s="107"/>
      <c r="AL108" s="99"/>
      <c r="AM108" s="107"/>
      <c r="AN108" s="99"/>
      <c r="AO108" s="107"/>
      <c r="AP108" s="99"/>
      <c r="AQ108" s="107"/>
      <c r="AR108" s="99"/>
      <c r="AS108" s="107"/>
      <c r="AT108" s="99"/>
      <c r="AU108" s="107"/>
      <c r="AV108" s="99"/>
      <c r="AW108" s="107"/>
      <c r="AX108" s="99"/>
      <c r="AY108" s="107"/>
      <c r="AZ108" s="99"/>
      <c r="BA108" s="107"/>
      <c r="BB108" s="99"/>
      <c r="BC108" s="107"/>
      <c r="BD108" s="99"/>
      <c r="BE108" s="107"/>
      <c r="BF108" s="99"/>
      <c r="BG108" s="107"/>
      <c r="BH108" s="99"/>
      <c r="BI108" s="107"/>
      <c r="BJ108" s="99"/>
    </row>
    <row r="109" spans="1:62" s="106" customFormat="1" ht="12" x14ac:dyDescent="0.2">
      <c r="A109" s="241" t="s">
        <v>535</v>
      </c>
      <c r="B109" s="284" t="s">
        <v>1139</v>
      </c>
      <c r="C109" s="77">
        <v>150000</v>
      </c>
      <c r="D109" s="104" t="s">
        <v>863</v>
      </c>
      <c r="E109" s="246">
        <v>0.81</v>
      </c>
      <c r="F109" s="78">
        <f t="shared" si="37"/>
        <v>121500</v>
      </c>
      <c r="G109" s="79">
        <f t="shared" si="38"/>
        <v>0</v>
      </c>
      <c r="H109" s="79">
        <f t="shared" si="39"/>
        <v>0</v>
      </c>
      <c r="I109" s="105"/>
      <c r="J109" s="80">
        <f>C109-(O109+Q109+S109+U109+W109+Y109+AA109+AC109+AE109+AG109+AI109+AK109+AM109+AO109+AQ109+AS109+AU109+AW109+AY109+BA109+BC109+BE109+BG109+BI109)</f>
        <v>150000</v>
      </c>
      <c r="K109" s="81">
        <f t="shared" si="40"/>
        <v>121500.00000000001</v>
      </c>
      <c r="L109" s="82">
        <f t="shared" si="41"/>
        <v>0</v>
      </c>
      <c r="M109" s="82">
        <f t="shared" si="62"/>
        <v>0</v>
      </c>
      <c r="O109" s="108"/>
      <c r="P109" s="84">
        <f>O109*E109</f>
        <v>0</v>
      </c>
      <c r="Q109" s="108"/>
      <c r="R109" s="84">
        <f t="shared" si="42"/>
        <v>0</v>
      </c>
      <c r="S109" s="108"/>
      <c r="T109" s="84">
        <f t="shared" si="43"/>
        <v>0</v>
      </c>
      <c r="U109" s="108"/>
      <c r="V109" s="84">
        <f t="shared" si="44"/>
        <v>0</v>
      </c>
      <c r="W109" s="108"/>
      <c r="X109" s="84">
        <f t="shared" si="45"/>
        <v>0</v>
      </c>
      <c r="Y109" s="108"/>
      <c r="Z109" s="84">
        <f t="shared" si="46"/>
        <v>0</v>
      </c>
      <c r="AA109" s="108"/>
      <c r="AB109" s="84">
        <f t="shared" si="47"/>
        <v>0</v>
      </c>
      <c r="AC109" s="108"/>
      <c r="AD109" s="84">
        <f t="shared" si="48"/>
        <v>0</v>
      </c>
      <c r="AE109" s="108"/>
      <c r="AF109" s="84">
        <f t="shared" si="49"/>
        <v>0</v>
      </c>
      <c r="AG109" s="108"/>
      <c r="AH109" s="84">
        <f t="shared" si="50"/>
        <v>0</v>
      </c>
      <c r="AI109" s="108"/>
      <c r="AJ109" s="84">
        <f t="shared" si="51"/>
        <v>0</v>
      </c>
      <c r="AK109" s="108"/>
      <c r="AL109" s="84">
        <f t="shared" si="51"/>
        <v>0</v>
      </c>
      <c r="AM109" s="108"/>
      <c r="AN109" s="84">
        <f>AM109*AC109</f>
        <v>0</v>
      </c>
      <c r="AO109" s="108"/>
      <c r="AP109" s="84">
        <f t="shared" si="52"/>
        <v>0</v>
      </c>
      <c r="AQ109" s="108"/>
      <c r="AR109" s="84">
        <f t="shared" si="53"/>
        <v>0</v>
      </c>
      <c r="AS109" s="108"/>
      <c r="AT109" s="84">
        <f t="shared" si="54"/>
        <v>0</v>
      </c>
      <c r="AU109" s="108"/>
      <c r="AV109" s="84">
        <f t="shared" si="55"/>
        <v>0</v>
      </c>
      <c r="AW109" s="108"/>
      <c r="AX109" s="84">
        <f t="shared" si="56"/>
        <v>0</v>
      </c>
      <c r="AY109" s="108"/>
      <c r="AZ109" s="84">
        <f t="shared" si="57"/>
        <v>0</v>
      </c>
      <c r="BA109" s="108"/>
      <c r="BB109" s="84">
        <f t="shared" si="58"/>
        <v>0</v>
      </c>
      <c r="BC109" s="108"/>
      <c r="BD109" s="84">
        <f t="shared" si="59"/>
        <v>0</v>
      </c>
      <c r="BE109" s="108"/>
      <c r="BF109" s="84">
        <f t="shared" si="60"/>
        <v>0</v>
      </c>
      <c r="BG109" s="108"/>
      <c r="BH109" s="84">
        <f t="shared" si="61"/>
        <v>0</v>
      </c>
      <c r="BI109" s="108"/>
      <c r="BJ109" s="84">
        <f t="shared" si="61"/>
        <v>0</v>
      </c>
    </row>
    <row r="110" spans="1:62" s="106" customFormat="1" ht="12" x14ac:dyDescent="0.2">
      <c r="A110" s="242" t="s">
        <v>536</v>
      </c>
      <c r="B110" s="287" t="s">
        <v>1135</v>
      </c>
      <c r="C110" s="86">
        <v>166850</v>
      </c>
      <c r="D110" s="7" t="s">
        <v>863</v>
      </c>
      <c r="E110" s="247">
        <v>0.61</v>
      </c>
      <c r="F110" s="87">
        <f t="shared" si="37"/>
        <v>101778.5</v>
      </c>
      <c r="G110" s="88">
        <f t="shared" si="38"/>
        <v>0</v>
      </c>
      <c r="H110" s="88">
        <f t="shared" si="39"/>
        <v>0</v>
      </c>
      <c r="I110" s="105"/>
      <c r="J110" s="89">
        <f>C110-(O110+Q110+S110+U110+W110+Y110+AA110+AC110+AE110+AG110+AI110+AK110+AM110+AO110+AQ110+AS110+AU110+AW110+AY110+BA110+BC110+BE110+BG110+BI110)</f>
        <v>166850</v>
      </c>
      <c r="K110" s="90">
        <f t="shared" si="40"/>
        <v>101778.5</v>
      </c>
      <c r="L110" s="91">
        <f t="shared" si="41"/>
        <v>0</v>
      </c>
      <c r="M110" s="91">
        <f t="shared" si="62"/>
        <v>0</v>
      </c>
      <c r="O110" s="109"/>
      <c r="P110" s="93">
        <f>O110*E110</f>
        <v>0</v>
      </c>
      <c r="Q110" s="109"/>
      <c r="R110" s="93">
        <f t="shared" si="42"/>
        <v>0</v>
      </c>
      <c r="S110" s="109"/>
      <c r="T110" s="93">
        <f t="shared" si="43"/>
        <v>0</v>
      </c>
      <c r="U110" s="109"/>
      <c r="V110" s="93">
        <f t="shared" si="44"/>
        <v>0</v>
      </c>
      <c r="W110" s="109"/>
      <c r="X110" s="93">
        <f t="shared" si="45"/>
        <v>0</v>
      </c>
      <c r="Y110" s="109"/>
      <c r="Z110" s="93">
        <f t="shared" si="46"/>
        <v>0</v>
      </c>
      <c r="AA110" s="109"/>
      <c r="AB110" s="93">
        <f t="shared" si="47"/>
        <v>0</v>
      </c>
      <c r="AC110" s="109"/>
      <c r="AD110" s="93">
        <f t="shared" si="48"/>
        <v>0</v>
      </c>
      <c r="AE110" s="109"/>
      <c r="AF110" s="93">
        <f t="shared" si="49"/>
        <v>0</v>
      </c>
      <c r="AG110" s="109"/>
      <c r="AH110" s="93">
        <f t="shared" si="50"/>
        <v>0</v>
      </c>
      <c r="AI110" s="109"/>
      <c r="AJ110" s="93">
        <f t="shared" si="51"/>
        <v>0</v>
      </c>
      <c r="AK110" s="109"/>
      <c r="AL110" s="93">
        <f t="shared" si="51"/>
        <v>0</v>
      </c>
      <c r="AM110" s="109"/>
      <c r="AN110" s="93">
        <f>AM110*AC110</f>
        <v>0</v>
      </c>
      <c r="AO110" s="109"/>
      <c r="AP110" s="93">
        <f t="shared" si="52"/>
        <v>0</v>
      </c>
      <c r="AQ110" s="109"/>
      <c r="AR110" s="93">
        <f t="shared" si="53"/>
        <v>0</v>
      </c>
      <c r="AS110" s="109"/>
      <c r="AT110" s="93">
        <f t="shared" si="54"/>
        <v>0</v>
      </c>
      <c r="AU110" s="109"/>
      <c r="AV110" s="93">
        <f t="shared" si="55"/>
        <v>0</v>
      </c>
      <c r="AW110" s="109"/>
      <c r="AX110" s="93">
        <f t="shared" si="56"/>
        <v>0</v>
      </c>
      <c r="AY110" s="109"/>
      <c r="AZ110" s="93">
        <f t="shared" si="57"/>
        <v>0</v>
      </c>
      <c r="BA110" s="109"/>
      <c r="BB110" s="93">
        <f t="shared" si="58"/>
        <v>0</v>
      </c>
      <c r="BC110" s="109"/>
      <c r="BD110" s="93">
        <f t="shared" si="59"/>
        <v>0</v>
      </c>
      <c r="BE110" s="109"/>
      <c r="BF110" s="93">
        <f t="shared" si="60"/>
        <v>0</v>
      </c>
      <c r="BG110" s="109"/>
      <c r="BH110" s="93">
        <f t="shared" si="61"/>
        <v>0</v>
      </c>
      <c r="BI110" s="109"/>
      <c r="BJ110" s="93">
        <f t="shared" si="61"/>
        <v>0</v>
      </c>
    </row>
    <row r="111" spans="1:62" s="106" customFormat="1" ht="12" x14ac:dyDescent="0.2">
      <c r="A111" s="241" t="s">
        <v>537</v>
      </c>
      <c r="B111" s="284" t="s">
        <v>1136</v>
      </c>
      <c r="C111" s="77">
        <v>160000</v>
      </c>
      <c r="D111" s="104" t="s">
        <v>863</v>
      </c>
      <c r="E111" s="246">
        <v>0.48</v>
      </c>
      <c r="F111" s="78">
        <f t="shared" si="37"/>
        <v>76800</v>
      </c>
      <c r="G111" s="79">
        <f t="shared" si="38"/>
        <v>0</v>
      </c>
      <c r="H111" s="79">
        <f t="shared" si="39"/>
        <v>0</v>
      </c>
      <c r="I111" s="105"/>
      <c r="J111" s="80">
        <f>C111-(O111+Q111+S111+U111+W111+Y111+AA111+AC111+AE111+AG111+AI111+AK111+AM111+AO111+AQ111+AS111+AU111+AW111+AY111+BA111+BC111+BE111+BG111+BI111)</f>
        <v>160000</v>
      </c>
      <c r="K111" s="81">
        <f t="shared" si="40"/>
        <v>76800</v>
      </c>
      <c r="L111" s="82">
        <f t="shared" si="41"/>
        <v>0</v>
      </c>
      <c r="M111" s="82">
        <f t="shared" si="62"/>
        <v>0</v>
      </c>
      <c r="O111" s="108"/>
      <c r="P111" s="84">
        <f>O111*E111</f>
        <v>0</v>
      </c>
      <c r="Q111" s="108"/>
      <c r="R111" s="84">
        <f t="shared" si="42"/>
        <v>0</v>
      </c>
      <c r="S111" s="108"/>
      <c r="T111" s="84">
        <f t="shared" si="43"/>
        <v>0</v>
      </c>
      <c r="U111" s="108"/>
      <c r="V111" s="84">
        <f t="shared" si="44"/>
        <v>0</v>
      </c>
      <c r="W111" s="108"/>
      <c r="X111" s="84">
        <f t="shared" si="45"/>
        <v>0</v>
      </c>
      <c r="Y111" s="108"/>
      <c r="Z111" s="84">
        <f t="shared" si="46"/>
        <v>0</v>
      </c>
      <c r="AA111" s="108"/>
      <c r="AB111" s="84">
        <f t="shared" si="47"/>
        <v>0</v>
      </c>
      <c r="AC111" s="108"/>
      <c r="AD111" s="84">
        <f t="shared" si="48"/>
        <v>0</v>
      </c>
      <c r="AE111" s="108"/>
      <c r="AF111" s="84">
        <f t="shared" si="49"/>
        <v>0</v>
      </c>
      <c r="AG111" s="108"/>
      <c r="AH111" s="84">
        <f t="shared" si="50"/>
        <v>0</v>
      </c>
      <c r="AI111" s="108"/>
      <c r="AJ111" s="84">
        <f t="shared" si="51"/>
        <v>0</v>
      </c>
      <c r="AK111" s="108"/>
      <c r="AL111" s="84">
        <f t="shared" si="51"/>
        <v>0</v>
      </c>
      <c r="AM111" s="108"/>
      <c r="AN111" s="84">
        <f>AM111*AC111</f>
        <v>0</v>
      </c>
      <c r="AO111" s="108"/>
      <c r="AP111" s="84">
        <f t="shared" si="52"/>
        <v>0</v>
      </c>
      <c r="AQ111" s="108"/>
      <c r="AR111" s="84">
        <f t="shared" si="53"/>
        <v>0</v>
      </c>
      <c r="AS111" s="108"/>
      <c r="AT111" s="84">
        <f t="shared" si="54"/>
        <v>0</v>
      </c>
      <c r="AU111" s="108"/>
      <c r="AV111" s="84">
        <f t="shared" si="55"/>
        <v>0</v>
      </c>
      <c r="AW111" s="108"/>
      <c r="AX111" s="84">
        <f t="shared" si="56"/>
        <v>0</v>
      </c>
      <c r="AY111" s="108"/>
      <c r="AZ111" s="84">
        <f t="shared" si="57"/>
        <v>0</v>
      </c>
      <c r="BA111" s="108"/>
      <c r="BB111" s="84">
        <f t="shared" si="58"/>
        <v>0</v>
      </c>
      <c r="BC111" s="108"/>
      <c r="BD111" s="84">
        <f t="shared" si="59"/>
        <v>0</v>
      </c>
      <c r="BE111" s="108"/>
      <c r="BF111" s="84">
        <f t="shared" si="60"/>
        <v>0</v>
      </c>
      <c r="BG111" s="108"/>
      <c r="BH111" s="84">
        <f t="shared" si="61"/>
        <v>0</v>
      </c>
      <c r="BI111" s="108"/>
      <c r="BJ111" s="84">
        <f t="shared" si="61"/>
        <v>0</v>
      </c>
    </row>
    <row r="112" spans="1:62" s="106" customFormat="1" ht="12" x14ac:dyDescent="0.2">
      <c r="A112" s="242" t="s">
        <v>538</v>
      </c>
      <c r="B112" s="285" t="s">
        <v>1137</v>
      </c>
      <c r="C112" s="86">
        <v>160000</v>
      </c>
      <c r="D112" s="7" t="s">
        <v>863</v>
      </c>
      <c r="E112" s="247">
        <v>0.33</v>
      </c>
      <c r="F112" s="87">
        <f t="shared" si="37"/>
        <v>52800</v>
      </c>
      <c r="G112" s="88">
        <f t="shared" si="38"/>
        <v>0</v>
      </c>
      <c r="H112" s="88">
        <f t="shared" si="39"/>
        <v>0</v>
      </c>
      <c r="I112" s="105"/>
      <c r="J112" s="89">
        <f>C112-(O112+Q112+S112+U112+W112+Y112+AA112+AC112+AE112+AG112+AI112+AK112+AM112+AO112+AQ112+AS112+AU112+AW112+AY112+BA112+BC112+BE112+BG112+BI112)</f>
        <v>160000</v>
      </c>
      <c r="K112" s="90">
        <f t="shared" si="40"/>
        <v>52800</v>
      </c>
      <c r="L112" s="91">
        <f t="shared" si="41"/>
        <v>0</v>
      </c>
      <c r="M112" s="91">
        <f t="shared" si="62"/>
        <v>0</v>
      </c>
      <c r="O112" s="109"/>
      <c r="P112" s="93">
        <f>O112*E112</f>
        <v>0</v>
      </c>
      <c r="Q112" s="109"/>
      <c r="R112" s="93">
        <f t="shared" si="42"/>
        <v>0</v>
      </c>
      <c r="S112" s="109"/>
      <c r="T112" s="93">
        <f t="shared" si="43"/>
        <v>0</v>
      </c>
      <c r="U112" s="109"/>
      <c r="V112" s="93">
        <f t="shared" si="44"/>
        <v>0</v>
      </c>
      <c r="W112" s="109"/>
      <c r="X112" s="93">
        <f t="shared" si="45"/>
        <v>0</v>
      </c>
      <c r="Y112" s="109"/>
      <c r="Z112" s="93">
        <f t="shared" si="46"/>
        <v>0</v>
      </c>
      <c r="AA112" s="109"/>
      <c r="AB112" s="93">
        <f t="shared" si="47"/>
        <v>0</v>
      </c>
      <c r="AC112" s="109"/>
      <c r="AD112" s="93">
        <f t="shared" si="48"/>
        <v>0</v>
      </c>
      <c r="AE112" s="109"/>
      <c r="AF112" s="93">
        <f t="shared" si="49"/>
        <v>0</v>
      </c>
      <c r="AG112" s="109"/>
      <c r="AH112" s="93">
        <f t="shared" si="50"/>
        <v>0</v>
      </c>
      <c r="AI112" s="109"/>
      <c r="AJ112" s="93">
        <f t="shared" si="51"/>
        <v>0</v>
      </c>
      <c r="AK112" s="109"/>
      <c r="AL112" s="93">
        <f t="shared" si="51"/>
        <v>0</v>
      </c>
      <c r="AM112" s="109"/>
      <c r="AN112" s="93">
        <f>AM112*AC112</f>
        <v>0</v>
      </c>
      <c r="AO112" s="109"/>
      <c r="AP112" s="93">
        <f t="shared" si="52"/>
        <v>0</v>
      </c>
      <c r="AQ112" s="109"/>
      <c r="AR112" s="93">
        <f t="shared" si="53"/>
        <v>0</v>
      </c>
      <c r="AS112" s="109"/>
      <c r="AT112" s="93">
        <f t="shared" si="54"/>
        <v>0</v>
      </c>
      <c r="AU112" s="109"/>
      <c r="AV112" s="93">
        <f t="shared" si="55"/>
        <v>0</v>
      </c>
      <c r="AW112" s="109"/>
      <c r="AX112" s="93">
        <f t="shared" si="56"/>
        <v>0</v>
      </c>
      <c r="AY112" s="109"/>
      <c r="AZ112" s="93">
        <f t="shared" si="57"/>
        <v>0</v>
      </c>
      <c r="BA112" s="109"/>
      <c r="BB112" s="93">
        <f t="shared" si="58"/>
        <v>0</v>
      </c>
      <c r="BC112" s="109"/>
      <c r="BD112" s="93">
        <f t="shared" si="59"/>
        <v>0</v>
      </c>
      <c r="BE112" s="109"/>
      <c r="BF112" s="93">
        <f t="shared" si="60"/>
        <v>0</v>
      </c>
      <c r="BG112" s="109"/>
      <c r="BH112" s="93">
        <f t="shared" si="61"/>
        <v>0</v>
      </c>
      <c r="BI112" s="109"/>
      <c r="BJ112" s="93">
        <f t="shared" si="61"/>
        <v>0</v>
      </c>
    </row>
    <row r="113" spans="1:62" s="106" customFormat="1" ht="12" x14ac:dyDescent="0.2">
      <c r="A113" s="241" t="s">
        <v>539</v>
      </c>
      <c r="B113" s="284" t="s">
        <v>1138</v>
      </c>
      <c r="C113" s="77">
        <v>560000</v>
      </c>
      <c r="D113" s="104" t="s">
        <v>863</v>
      </c>
      <c r="E113" s="246">
        <v>0.31</v>
      </c>
      <c r="F113" s="78">
        <f t="shared" si="37"/>
        <v>173600</v>
      </c>
      <c r="G113" s="79">
        <f t="shared" si="38"/>
        <v>0</v>
      </c>
      <c r="H113" s="79">
        <f t="shared" si="39"/>
        <v>0</v>
      </c>
      <c r="I113" s="105"/>
      <c r="J113" s="80">
        <f>C113-(O113+Q113+S113+U113+W113+Y113+AA113+AC113+AE113+AG113+AI113+AK113+AM113+AO113+AQ113+AS113+AU113+AW113+AY113+BA113+BC113+BE113+BG113+BI113)</f>
        <v>560000</v>
      </c>
      <c r="K113" s="81">
        <f t="shared" si="40"/>
        <v>173600</v>
      </c>
      <c r="L113" s="82">
        <f t="shared" si="41"/>
        <v>0</v>
      </c>
      <c r="M113" s="82">
        <f t="shared" si="62"/>
        <v>0</v>
      </c>
      <c r="O113" s="108"/>
      <c r="P113" s="84">
        <f>O113*E113</f>
        <v>0</v>
      </c>
      <c r="Q113" s="108"/>
      <c r="R113" s="84">
        <f t="shared" si="42"/>
        <v>0</v>
      </c>
      <c r="S113" s="108"/>
      <c r="T113" s="84">
        <f t="shared" si="43"/>
        <v>0</v>
      </c>
      <c r="U113" s="108"/>
      <c r="V113" s="84">
        <f t="shared" si="44"/>
        <v>0</v>
      </c>
      <c r="W113" s="108"/>
      <c r="X113" s="84">
        <f t="shared" si="45"/>
        <v>0</v>
      </c>
      <c r="Y113" s="108"/>
      <c r="Z113" s="84">
        <f t="shared" si="46"/>
        <v>0</v>
      </c>
      <c r="AA113" s="108"/>
      <c r="AB113" s="84">
        <f t="shared" si="47"/>
        <v>0</v>
      </c>
      <c r="AC113" s="108"/>
      <c r="AD113" s="84">
        <f t="shared" si="48"/>
        <v>0</v>
      </c>
      <c r="AE113" s="108"/>
      <c r="AF113" s="84">
        <f t="shared" si="49"/>
        <v>0</v>
      </c>
      <c r="AG113" s="108"/>
      <c r="AH113" s="84">
        <f t="shared" si="50"/>
        <v>0</v>
      </c>
      <c r="AI113" s="108"/>
      <c r="AJ113" s="84">
        <f t="shared" si="51"/>
        <v>0</v>
      </c>
      <c r="AK113" s="108"/>
      <c r="AL113" s="84">
        <f t="shared" si="51"/>
        <v>0</v>
      </c>
      <c r="AM113" s="108"/>
      <c r="AN113" s="84">
        <f>AM113*AC113</f>
        <v>0</v>
      </c>
      <c r="AO113" s="108"/>
      <c r="AP113" s="84">
        <f t="shared" si="52"/>
        <v>0</v>
      </c>
      <c r="AQ113" s="108"/>
      <c r="AR113" s="84">
        <f t="shared" si="53"/>
        <v>0</v>
      </c>
      <c r="AS113" s="108"/>
      <c r="AT113" s="84">
        <f t="shared" si="54"/>
        <v>0</v>
      </c>
      <c r="AU113" s="108"/>
      <c r="AV113" s="84">
        <f t="shared" si="55"/>
        <v>0</v>
      </c>
      <c r="AW113" s="108"/>
      <c r="AX113" s="84">
        <f t="shared" si="56"/>
        <v>0</v>
      </c>
      <c r="AY113" s="108"/>
      <c r="AZ113" s="84">
        <f t="shared" si="57"/>
        <v>0</v>
      </c>
      <c r="BA113" s="108"/>
      <c r="BB113" s="84">
        <f t="shared" si="58"/>
        <v>0</v>
      </c>
      <c r="BC113" s="108"/>
      <c r="BD113" s="84">
        <f t="shared" si="59"/>
        <v>0</v>
      </c>
      <c r="BE113" s="108"/>
      <c r="BF113" s="84">
        <f t="shared" si="60"/>
        <v>0</v>
      </c>
      <c r="BG113" s="108"/>
      <c r="BH113" s="84">
        <f t="shared" si="61"/>
        <v>0</v>
      </c>
      <c r="BI113" s="108"/>
      <c r="BJ113" s="84">
        <f t="shared" si="61"/>
        <v>0</v>
      </c>
    </row>
    <row r="114" spans="1:62" s="106" customFormat="1" ht="12" x14ac:dyDescent="0.2">
      <c r="A114" s="240"/>
      <c r="B114" s="304"/>
      <c r="C114" s="103"/>
      <c r="D114" s="5"/>
      <c r="E114" s="248"/>
      <c r="F114" s="68"/>
      <c r="G114" s="69"/>
      <c r="H114" s="69"/>
      <c r="I114" s="105"/>
      <c r="J114" s="95"/>
      <c r="K114" s="96"/>
      <c r="L114" s="97"/>
      <c r="M114" s="97"/>
      <c r="O114" s="107"/>
      <c r="P114" s="99"/>
      <c r="Q114" s="107"/>
      <c r="R114" s="99"/>
      <c r="S114" s="107"/>
      <c r="T114" s="99"/>
      <c r="U114" s="107"/>
      <c r="V114" s="99"/>
      <c r="W114" s="107"/>
      <c r="X114" s="99"/>
      <c r="Y114" s="107"/>
      <c r="Z114" s="99"/>
      <c r="AA114" s="107"/>
      <c r="AB114" s="99"/>
      <c r="AC114" s="107"/>
      <c r="AD114" s="99"/>
      <c r="AE114" s="107"/>
      <c r="AF114" s="99"/>
      <c r="AG114" s="107"/>
      <c r="AH114" s="99"/>
      <c r="AI114" s="107"/>
      <c r="AJ114" s="99"/>
      <c r="AK114" s="107"/>
      <c r="AL114" s="99"/>
      <c r="AM114" s="107"/>
      <c r="AN114" s="99"/>
      <c r="AO114" s="107"/>
      <c r="AP114" s="99"/>
      <c r="AQ114" s="107"/>
      <c r="AR114" s="99"/>
      <c r="AS114" s="107"/>
      <c r="AT114" s="99"/>
      <c r="AU114" s="107"/>
      <c r="AV114" s="99"/>
      <c r="AW114" s="107"/>
      <c r="AX114" s="99"/>
      <c r="AY114" s="107"/>
      <c r="AZ114" s="99"/>
      <c r="BA114" s="107"/>
      <c r="BB114" s="99"/>
      <c r="BC114" s="107"/>
      <c r="BD114" s="99"/>
      <c r="BE114" s="107"/>
      <c r="BF114" s="99"/>
      <c r="BG114" s="107"/>
      <c r="BH114" s="99"/>
      <c r="BI114" s="107"/>
      <c r="BJ114" s="99"/>
    </row>
    <row r="115" spans="1:62" s="106" customFormat="1" ht="12" x14ac:dyDescent="0.2">
      <c r="A115" s="241" t="s">
        <v>540</v>
      </c>
      <c r="B115" s="284" t="s">
        <v>1140</v>
      </c>
      <c r="C115" s="77">
        <v>15000</v>
      </c>
      <c r="D115" s="104" t="s">
        <v>863</v>
      </c>
      <c r="E115" s="246">
        <v>0.63</v>
      </c>
      <c r="F115" s="78">
        <f t="shared" si="37"/>
        <v>9450</v>
      </c>
      <c r="G115" s="79">
        <f t="shared" si="38"/>
        <v>0</v>
      </c>
      <c r="H115" s="79">
        <f t="shared" si="39"/>
        <v>0</v>
      </c>
      <c r="I115" s="105"/>
      <c r="J115" s="80">
        <f>C115-(O115+Q115+S115+U115+W115+Y115+AA115+AC115+AE115+AG115+AI115+AK115+AM115+AO115+AQ115+AS115+AU115+AW115+AY115+BA115+BC115+BE115+BG115+BI115)</f>
        <v>15000</v>
      </c>
      <c r="K115" s="81">
        <f t="shared" si="40"/>
        <v>9450</v>
      </c>
      <c r="L115" s="82">
        <f t="shared" si="41"/>
        <v>0</v>
      </c>
      <c r="M115" s="82">
        <f t="shared" si="62"/>
        <v>0</v>
      </c>
      <c r="O115" s="108"/>
      <c r="P115" s="84">
        <f>O115*E115</f>
        <v>0</v>
      </c>
      <c r="Q115" s="108"/>
      <c r="R115" s="84">
        <f t="shared" si="42"/>
        <v>0</v>
      </c>
      <c r="S115" s="108"/>
      <c r="T115" s="84">
        <f t="shared" si="43"/>
        <v>0</v>
      </c>
      <c r="U115" s="108"/>
      <c r="V115" s="84">
        <f t="shared" si="44"/>
        <v>0</v>
      </c>
      <c r="W115" s="108"/>
      <c r="X115" s="84">
        <f t="shared" si="45"/>
        <v>0</v>
      </c>
      <c r="Y115" s="108"/>
      <c r="Z115" s="84">
        <f t="shared" si="46"/>
        <v>0</v>
      </c>
      <c r="AA115" s="108"/>
      <c r="AB115" s="84">
        <f t="shared" si="47"/>
        <v>0</v>
      </c>
      <c r="AC115" s="108"/>
      <c r="AD115" s="84">
        <f t="shared" si="48"/>
        <v>0</v>
      </c>
      <c r="AE115" s="108"/>
      <c r="AF115" s="84">
        <f t="shared" si="49"/>
        <v>0</v>
      </c>
      <c r="AG115" s="108"/>
      <c r="AH115" s="84">
        <f t="shared" si="50"/>
        <v>0</v>
      </c>
      <c r="AI115" s="108"/>
      <c r="AJ115" s="84">
        <f t="shared" si="51"/>
        <v>0</v>
      </c>
      <c r="AK115" s="108"/>
      <c r="AL115" s="84">
        <f t="shared" si="51"/>
        <v>0</v>
      </c>
      <c r="AM115" s="108"/>
      <c r="AN115" s="84">
        <f>AM115*AC115</f>
        <v>0</v>
      </c>
      <c r="AO115" s="108"/>
      <c r="AP115" s="84">
        <f t="shared" si="52"/>
        <v>0</v>
      </c>
      <c r="AQ115" s="108"/>
      <c r="AR115" s="84">
        <f t="shared" si="53"/>
        <v>0</v>
      </c>
      <c r="AS115" s="108"/>
      <c r="AT115" s="84">
        <f t="shared" si="54"/>
        <v>0</v>
      </c>
      <c r="AU115" s="108"/>
      <c r="AV115" s="84">
        <f t="shared" si="55"/>
        <v>0</v>
      </c>
      <c r="AW115" s="108"/>
      <c r="AX115" s="84">
        <f t="shared" si="56"/>
        <v>0</v>
      </c>
      <c r="AY115" s="108"/>
      <c r="AZ115" s="84">
        <f t="shared" si="57"/>
        <v>0</v>
      </c>
      <c r="BA115" s="108"/>
      <c r="BB115" s="84">
        <f t="shared" si="58"/>
        <v>0</v>
      </c>
      <c r="BC115" s="108"/>
      <c r="BD115" s="84">
        <f t="shared" si="59"/>
        <v>0</v>
      </c>
      <c r="BE115" s="108"/>
      <c r="BF115" s="84">
        <f t="shared" si="60"/>
        <v>0</v>
      </c>
      <c r="BG115" s="108"/>
      <c r="BH115" s="84">
        <f t="shared" si="61"/>
        <v>0</v>
      </c>
      <c r="BI115" s="108"/>
      <c r="BJ115" s="84">
        <f t="shared" si="61"/>
        <v>0</v>
      </c>
    </row>
    <row r="116" spans="1:62" s="106" customFormat="1" ht="12" x14ac:dyDescent="0.2">
      <c r="A116" s="242" t="s">
        <v>541</v>
      </c>
      <c r="B116" s="287" t="s">
        <v>1141</v>
      </c>
      <c r="C116" s="86">
        <v>37550</v>
      </c>
      <c r="D116" s="7" t="s">
        <v>863</v>
      </c>
      <c r="E116" s="247">
        <v>0.53</v>
      </c>
      <c r="F116" s="87">
        <f t="shared" si="37"/>
        <v>19901.5</v>
      </c>
      <c r="G116" s="88">
        <f t="shared" si="38"/>
        <v>0</v>
      </c>
      <c r="H116" s="88">
        <f t="shared" si="39"/>
        <v>0</v>
      </c>
      <c r="I116" s="105"/>
      <c r="J116" s="89">
        <f>C116-(O116+Q116+S116+U116+W116+Y116+AA116+AC116+AE116+AG116+AI116+AK116+AM116+AO116+AQ116+AS116+AU116+AW116+AY116+BA116+BC116+BE116+BG116+BI116)</f>
        <v>37550</v>
      </c>
      <c r="K116" s="90">
        <f t="shared" si="40"/>
        <v>19901.5</v>
      </c>
      <c r="L116" s="91">
        <f t="shared" si="41"/>
        <v>0</v>
      </c>
      <c r="M116" s="91">
        <f t="shared" si="62"/>
        <v>0</v>
      </c>
      <c r="O116" s="109"/>
      <c r="P116" s="93">
        <f>O116*E116</f>
        <v>0</v>
      </c>
      <c r="Q116" s="109"/>
      <c r="R116" s="93">
        <f t="shared" si="42"/>
        <v>0</v>
      </c>
      <c r="S116" s="109"/>
      <c r="T116" s="93">
        <f t="shared" si="43"/>
        <v>0</v>
      </c>
      <c r="U116" s="109"/>
      <c r="V116" s="93">
        <f t="shared" si="44"/>
        <v>0</v>
      </c>
      <c r="W116" s="109"/>
      <c r="X116" s="93">
        <f t="shared" si="45"/>
        <v>0</v>
      </c>
      <c r="Y116" s="109"/>
      <c r="Z116" s="93">
        <f t="shared" si="46"/>
        <v>0</v>
      </c>
      <c r="AA116" s="109"/>
      <c r="AB116" s="93">
        <f t="shared" si="47"/>
        <v>0</v>
      </c>
      <c r="AC116" s="109"/>
      <c r="AD116" s="93">
        <f t="shared" si="48"/>
        <v>0</v>
      </c>
      <c r="AE116" s="109"/>
      <c r="AF116" s="93">
        <f t="shared" si="49"/>
        <v>0</v>
      </c>
      <c r="AG116" s="109"/>
      <c r="AH116" s="93">
        <f t="shared" si="50"/>
        <v>0</v>
      </c>
      <c r="AI116" s="109"/>
      <c r="AJ116" s="93">
        <f t="shared" si="51"/>
        <v>0</v>
      </c>
      <c r="AK116" s="109"/>
      <c r="AL116" s="93">
        <f t="shared" si="51"/>
        <v>0</v>
      </c>
      <c r="AM116" s="109"/>
      <c r="AN116" s="93">
        <f>AM116*AC116</f>
        <v>0</v>
      </c>
      <c r="AO116" s="109"/>
      <c r="AP116" s="93">
        <f t="shared" si="52"/>
        <v>0</v>
      </c>
      <c r="AQ116" s="109"/>
      <c r="AR116" s="93">
        <f t="shared" si="53"/>
        <v>0</v>
      </c>
      <c r="AS116" s="109"/>
      <c r="AT116" s="93">
        <f t="shared" si="54"/>
        <v>0</v>
      </c>
      <c r="AU116" s="109"/>
      <c r="AV116" s="93">
        <f t="shared" si="55"/>
        <v>0</v>
      </c>
      <c r="AW116" s="109"/>
      <c r="AX116" s="93">
        <f t="shared" si="56"/>
        <v>0</v>
      </c>
      <c r="AY116" s="109"/>
      <c r="AZ116" s="93">
        <f t="shared" si="57"/>
        <v>0</v>
      </c>
      <c r="BA116" s="109"/>
      <c r="BB116" s="93">
        <f t="shared" si="58"/>
        <v>0</v>
      </c>
      <c r="BC116" s="109"/>
      <c r="BD116" s="93">
        <f t="shared" si="59"/>
        <v>0</v>
      </c>
      <c r="BE116" s="109"/>
      <c r="BF116" s="93">
        <f t="shared" si="60"/>
        <v>0</v>
      </c>
      <c r="BG116" s="109"/>
      <c r="BH116" s="93">
        <f t="shared" si="61"/>
        <v>0</v>
      </c>
      <c r="BI116" s="109"/>
      <c r="BJ116" s="93">
        <f t="shared" si="61"/>
        <v>0</v>
      </c>
    </row>
    <row r="117" spans="1:62" s="106" customFormat="1" ht="12" x14ac:dyDescent="0.2">
      <c r="A117" s="241" t="s">
        <v>542</v>
      </c>
      <c r="B117" s="284" t="s">
        <v>1142</v>
      </c>
      <c r="C117" s="77">
        <v>45000</v>
      </c>
      <c r="D117" s="104" t="s">
        <v>863</v>
      </c>
      <c r="E117" s="246">
        <v>0.28999999999999998</v>
      </c>
      <c r="F117" s="78">
        <f t="shared" si="37"/>
        <v>13050</v>
      </c>
      <c r="G117" s="79">
        <f t="shared" si="38"/>
        <v>0</v>
      </c>
      <c r="H117" s="79">
        <f t="shared" si="39"/>
        <v>0</v>
      </c>
      <c r="I117" s="105"/>
      <c r="J117" s="80">
        <f>C117-(O117+Q117+S117+U117+W117+Y117+AA117+AC117+AE117+AG117+AI117+AK117+AM117+AO117+AQ117+AS117+AU117+AW117+AY117+BA117+BC117+BE117+BG117+BI117)</f>
        <v>45000</v>
      </c>
      <c r="K117" s="81">
        <f t="shared" si="40"/>
        <v>13050</v>
      </c>
      <c r="L117" s="82">
        <f t="shared" si="41"/>
        <v>0</v>
      </c>
      <c r="M117" s="82">
        <f t="shared" si="62"/>
        <v>0</v>
      </c>
      <c r="O117" s="108"/>
      <c r="P117" s="84">
        <f>O117*E117</f>
        <v>0</v>
      </c>
      <c r="Q117" s="108"/>
      <c r="R117" s="84">
        <f t="shared" si="42"/>
        <v>0</v>
      </c>
      <c r="S117" s="108"/>
      <c r="T117" s="84">
        <f t="shared" si="43"/>
        <v>0</v>
      </c>
      <c r="U117" s="108"/>
      <c r="V117" s="84">
        <f t="shared" si="44"/>
        <v>0</v>
      </c>
      <c r="W117" s="108"/>
      <c r="X117" s="84">
        <f t="shared" si="45"/>
        <v>0</v>
      </c>
      <c r="Y117" s="108"/>
      <c r="Z117" s="84">
        <f t="shared" si="46"/>
        <v>0</v>
      </c>
      <c r="AA117" s="108"/>
      <c r="AB117" s="84">
        <f t="shared" si="47"/>
        <v>0</v>
      </c>
      <c r="AC117" s="108"/>
      <c r="AD117" s="84">
        <f t="shared" si="48"/>
        <v>0</v>
      </c>
      <c r="AE117" s="108"/>
      <c r="AF117" s="84">
        <f t="shared" si="49"/>
        <v>0</v>
      </c>
      <c r="AG117" s="108"/>
      <c r="AH117" s="84">
        <f t="shared" si="50"/>
        <v>0</v>
      </c>
      <c r="AI117" s="108"/>
      <c r="AJ117" s="84">
        <f t="shared" si="51"/>
        <v>0</v>
      </c>
      <c r="AK117" s="108"/>
      <c r="AL117" s="84">
        <f t="shared" si="51"/>
        <v>0</v>
      </c>
      <c r="AM117" s="108"/>
      <c r="AN117" s="84">
        <f>AM117*AC117</f>
        <v>0</v>
      </c>
      <c r="AO117" s="108"/>
      <c r="AP117" s="84">
        <f t="shared" si="52"/>
        <v>0</v>
      </c>
      <c r="AQ117" s="108"/>
      <c r="AR117" s="84">
        <f t="shared" si="53"/>
        <v>0</v>
      </c>
      <c r="AS117" s="108"/>
      <c r="AT117" s="84">
        <f t="shared" si="54"/>
        <v>0</v>
      </c>
      <c r="AU117" s="108"/>
      <c r="AV117" s="84">
        <f t="shared" si="55"/>
        <v>0</v>
      </c>
      <c r="AW117" s="108"/>
      <c r="AX117" s="84">
        <f t="shared" si="56"/>
        <v>0</v>
      </c>
      <c r="AY117" s="108"/>
      <c r="AZ117" s="84">
        <f t="shared" si="57"/>
        <v>0</v>
      </c>
      <c r="BA117" s="108"/>
      <c r="BB117" s="84">
        <f t="shared" si="58"/>
        <v>0</v>
      </c>
      <c r="BC117" s="108"/>
      <c r="BD117" s="84">
        <f t="shared" si="59"/>
        <v>0</v>
      </c>
      <c r="BE117" s="108"/>
      <c r="BF117" s="84">
        <f t="shared" si="60"/>
        <v>0</v>
      </c>
      <c r="BG117" s="108"/>
      <c r="BH117" s="84">
        <f t="shared" si="61"/>
        <v>0</v>
      </c>
      <c r="BI117" s="108"/>
      <c r="BJ117" s="84">
        <f t="shared" si="61"/>
        <v>0</v>
      </c>
    </row>
    <row r="118" spans="1:62" s="106" customFormat="1" ht="12" x14ac:dyDescent="0.2">
      <c r="A118" s="242" t="s">
        <v>543</v>
      </c>
      <c r="B118" s="285" t="s">
        <v>1143</v>
      </c>
      <c r="C118" s="86">
        <v>60000</v>
      </c>
      <c r="D118" s="7" t="s">
        <v>863</v>
      </c>
      <c r="E118" s="247">
        <v>0.19</v>
      </c>
      <c r="F118" s="87">
        <f t="shared" si="37"/>
        <v>11400</v>
      </c>
      <c r="G118" s="88">
        <f t="shared" si="38"/>
        <v>0</v>
      </c>
      <c r="H118" s="88">
        <f t="shared" si="39"/>
        <v>0</v>
      </c>
      <c r="I118" s="105"/>
      <c r="J118" s="89">
        <f>C118-(O118+Q118+S118+U118+W118+Y118+AA118+AC118+AE118+AG118+AI118+AK118+AM118+AO118+AQ118+AS118+AU118+AW118+AY118+BA118+BC118+BE118+BG118+BI118)</f>
        <v>60000</v>
      </c>
      <c r="K118" s="90">
        <f t="shared" si="40"/>
        <v>11400</v>
      </c>
      <c r="L118" s="91">
        <f t="shared" si="41"/>
        <v>0</v>
      </c>
      <c r="M118" s="91">
        <f t="shared" si="62"/>
        <v>0</v>
      </c>
      <c r="O118" s="109"/>
      <c r="P118" s="93">
        <f>O118*E118</f>
        <v>0</v>
      </c>
      <c r="Q118" s="109"/>
      <c r="R118" s="93">
        <f t="shared" si="42"/>
        <v>0</v>
      </c>
      <c r="S118" s="109"/>
      <c r="T118" s="93">
        <f t="shared" si="43"/>
        <v>0</v>
      </c>
      <c r="U118" s="109"/>
      <c r="V118" s="93">
        <f t="shared" si="44"/>
        <v>0</v>
      </c>
      <c r="W118" s="109"/>
      <c r="X118" s="93">
        <f t="shared" si="45"/>
        <v>0</v>
      </c>
      <c r="Y118" s="109"/>
      <c r="Z118" s="93">
        <f t="shared" si="46"/>
        <v>0</v>
      </c>
      <c r="AA118" s="109"/>
      <c r="AB118" s="93">
        <f t="shared" si="47"/>
        <v>0</v>
      </c>
      <c r="AC118" s="109"/>
      <c r="AD118" s="93">
        <f t="shared" si="48"/>
        <v>0</v>
      </c>
      <c r="AE118" s="109"/>
      <c r="AF118" s="93">
        <f t="shared" si="49"/>
        <v>0</v>
      </c>
      <c r="AG118" s="109"/>
      <c r="AH118" s="93">
        <f t="shared" si="50"/>
        <v>0</v>
      </c>
      <c r="AI118" s="109"/>
      <c r="AJ118" s="93">
        <f t="shared" si="51"/>
        <v>0</v>
      </c>
      <c r="AK118" s="109"/>
      <c r="AL118" s="93">
        <f t="shared" si="51"/>
        <v>0</v>
      </c>
      <c r="AM118" s="109"/>
      <c r="AN118" s="93">
        <f>AM118*AC118</f>
        <v>0</v>
      </c>
      <c r="AO118" s="109"/>
      <c r="AP118" s="93">
        <f t="shared" si="52"/>
        <v>0</v>
      </c>
      <c r="AQ118" s="109"/>
      <c r="AR118" s="93">
        <f t="shared" si="53"/>
        <v>0</v>
      </c>
      <c r="AS118" s="109"/>
      <c r="AT118" s="93">
        <f t="shared" si="54"/>
        <v>0</v>
      </c>
      <c r="AU118" s="109"/>
      <c r="AV118" s="93">
        <f t="shared" si="55"/>
        <v>0</v>
      </c>
      <c r="AW118" s="109"/>
      <c r="AX118" s="93">
        <f t="shared" si="56"/>
        <v>0</v>
      </c>
      <c r="AY118" s="109"/>
      <c r="AZ118" s="93">
        <f t="shared" si="57"/>
        <v>0</v>
      </c>
      <c r="BA118" s="109"/>
      <c r="BB118" s="93">
        <f t="shared" si="58"/>
        <v>0</v>
      </c>
      <c r="BC118" s="109"/>
      <c r="BD118" s="93">
        <f t="shared" si="59"/>
        <v>0</v>
      </c>
      <c r="BE118" s="109"/>
      <c r="BF118" s="93">
        <f t="shared" si="60"/>
        <v>0</v>
      </c>
      <c r="BG118" s="109"/>
      <c r="BH118" s="93">
        <f t="shared" si="61"/>
        <v>0</v>
      </c>
      <c r="BI118" s="109"/>
      <c r="BJ118" s="93">
        <f t="shared" si="61"/>
        <v>0</v>
      </c>
    </row>
    <row r="119" spans="1:62" s="106" customFormat="1" ht="12" x14ac:dyDescent="0.2">
      <c r="A119" s="241" t="s">
        <v>544</v>
      </c>
      <c r="B119" s="284" t="s">
        <v>1144</v>
      </c>
      <c r="C119" s="77">
        <v>200000</v>
      </c>
      <c r="D119" s="104" t="s">
        <v>863</v>
      </c>
      <c r="E119" s="246">
        <v>0.18</v>
      </c>
      <c r="F119" s="78">
        <f t="shared" si="37"/>
        <v>36000</v>
      </c>
      <c r="G119" s="79">
        <f t="shared" si="38"/>
        <v>0</v>
      </c>
      <c r="H119" s="79">
        <f t="shared" si="39"/>
        <v>0</v>
      </c>
      <c r="I119" s="105"/>
      <c r="J119" s="80">
        <f>C119-(O119+Q119+S119+U119+W119+Y119+AA119+AC119+AE119+AG119+AI119+AK119+AM119+AO119+AQ119+AS119+AU119+AW119+AY119+BA119+BC119+BE119+BG119+BI119)</f>
        <v>200000</v>
      </c>
      <c r="K119" s="81">
        <f t="shared" si="40"/>
        <v>36000</v>
      </c>
      <c r="L119" s="82">
        <f t="shared" si="41"/>
        <v>0</v>
      </c>
      <c r="M119" s="82">
        <f t="shared" si="62"/>
        <v>0</v>
      </c>
      <c r="O119" s="108"/>
      <c r="P119" s="84">
        <f>O119*E119</f>
        <v>0</v>
      </c>
      <c r="Q119" s="108"/>
      <c r="R119" s="84">
        <f t="shared" si="42"/>
        <v>0</v>
      </c>
      <c r="S119" s="108"/>
      <c r="T119" s="84">
        <f t="shared" si="43"/>
        <v>0</v>
      </c>
      <c r="U119" s="108"/>
      <c r="V119" s="84">
        <f t="shared" si="44"/>
        <v>0</v>
      </c>
      <c r="W119" s="108"/>
      <c r="X119" s="84">
        <f t="shared" si="45"/>
        <v>0</v>
      </c>
      <c r="Y119" s="108"/>
      <c r="Z119" s="84">
        <f t="shared" si="46"/>
        <v>0</v>
      </c>
      <c r="AA119" s="108"/>
      <c r="AB119" s="84">
        <f t="shared" si="47"/>
        <v>0</v>
      </c>
      <c r="AC119" s="108"/>
      <c r="AD119" s="84">
        <f t="shared" si="48"/>
        <v>0</v>
      </c>
      <c r="AE119" s="108"/>
      <c r="AF119" s="84">
        <f t="shared" si="49"/>
        <v>0</v>
      </c>
      <c r="AG119" s="108"/>
      <c r="AH119" s="84">
        <f t="shared" si="50"/>
        <v>0</v>
      </c>
      <c r="AI119" s="108"/>
      <c r="AJ119" s="84">
        <f t="shared" si="51"/>
        <v>0</v>
      </c>
      <c r="AK119" s="108"/>
      <c r="AL119" s="84">
        <f t="shared" si="51"/>
        <v>0</v>
      </c>
      <c r="AM119" s="108"/>
      <c r="AN119" s="84">
        <f>AM119*AC119</f>
        <v>0</v>
      </c>
      <c r="AO119" s="108"/>
      <c r="AP119" s="84">
        <f t="shared" si="52"/>
        <v>0</v>
      </c>
      <c r="AQ119" s="108"/>
      <c r="AR119" s="84">
        <f t="shared" si="53"/>
        <v>0</v>
      </c>
      <c r="AS119" s="108"/>
      <c r="AT119" s="84">
        <f t="shared" si="54"/>
        <v>0</v>
      </c>
      <c r="AU119" s="108"/>
      <c r="AV119" s="84">
        <f t="shared" si="55"/>
        <v>0</v>
      </c>
      <c r="AW119" s="108"/>
      <c r="AX119" s="84">
        <f t="shared" si="56"/>
        <v>0</v>
      </c>
      <c r="AY119" s="108"/>
      <c r="AZ119" s="84">
        <f t="shared" si="57"/>
        <v>0</v>
      </c>
      <c r="BA119" s="108"/>
      <c r="BB119" s="84">
        <f t="shared" si="58"/>
        <v>0</v>
      </c>
      <c r="BC119" s="108"/>
      <c r="BD119" s="84">
        <f t="shared" si="59"/>
        <v>0</v>
      </c>
      <c r="BE119" s="108"/>
      <c r="BF119" s="84">
        <f t="shared" si="60"/>
        <v>0</v>
      </c>
      <c r="BG119" s="108"/>
      <c r="BH119" s="84">
        <f t="shared" si="61"/>
        <v>0</v>
      </c>
      <c r="BI119" s="108"/>
      <c r="BJ119" s="84">
        <f t="shared" si="61"/>
        <v>0</v>
      </c>
    </row>
    <row r="120" spans="1:62" s="106" customFormat="1" ht="12" x14ac:dyDescent="0.2">
      <c r="A120" s="240"/>
      <c r="B120" s="304"/>
      <c r="C120" s="103"/>
      <c r="D120" s="5"/>
      <c r="E120" s="248"/>
      <c r="F120" s="68"/>
      <c r="G120" s="69"/>
      <c r="H120" s="69"/>
      <c r="I120" s="105"/>
      <c r="J120" s="95"/>
      <c r="K120" s="96"/>
      <c r="L120" s="97"/>
      <c r="M120" s="97"/>
      <c r="O120" s="107"/>
      <c r="P120" s="99"/>
      <c r="Q120" s="107"/>
      <c r="R120" s="99"/>
      <c r="S120" s="107"/>
      <c r="T120" s="99"/>
      <c r="U120" s="107"/>
      <c r="V120" s="99"/>
      <c r="W120" s="107"/>
      <c r="X120" s="99"/>
      <c r="Y120" s="107"/>
      <c r="Z120" s="99"/>
      <c r="AA120" s="107"/>
      <c r="AB120" s="99"/>
      <c r="AC120" s="107"/>
      <c r="AD120" s="99"/>
      <c r="AE120" s="107"/>
      <c r="AF120" s="99"/>
      <c r="AG120" s="107"/>
      <c r="AH120" s="99"/>
      <c r="AI120" s="107"/>
      <c r="AJ120" s="99"/>
      <c r="AK120" s="107"/>
      <c r="AL120" s="99"/>
      <c r="AM120" s="107"/>
      <c r="AN120" s="99"/>
      <c r="AO120" s="107"/>
      <c r="AP120" s="99"/>
      <c r="AQ120" s="107"/>
      <c r="AR120" s="99"/>
      <c r="AS120" s="107"/>
      <c r="AT120" s="99"/>
      <c r="AU120" s="107"/>
      <c r="AV120" s="99"/>
      <c r="AW120" s="107"/>
      <c r="AX120" s="99"/>
      <c r="AY120" s="107"/>
      <c r="AZ120" s="99"/>
      <c r="BA120" s="107"/>
      <c r="BB120" s="99"/>
      <c r="BC120" s="107"/>
      <c r="BD120" s="99"/>
      <c r="BE120" s="107"/>
      <c r="BF120" s="99"/>
      <c r="BG120" s="107"/>
      <c r="BH120" s="99"/>
      <c r="BI120" s="107"/>
      <c r="BJ120" s="99"/>
    </row>
    <row r="121" spans="1:62" s="106" customFormat="1" ht="12" x14ac:dyDescent="0.2">
      <c r="A121" s="241" t="s">
        <v>545</v>
      </c>
      <c r="B121" s="284" t="s">
        <v>1149</v>
      </c>
      <c r="C121" s="77">
        <v>3000</v>
      </c>
      <c r="D121" s="104" t="s">
        <v>863</v>
      </c>
      <c r="E121" s="246">
        <v>0.39</v>
      </c>
      <c r="F121" s="78">
        <f t="shared" si="37"/>
        <v>1170</v>
      </c>
      <c r="G121" s="79">
        <f t="shared" si="38"/>
        <v>0</v>
      </c>
      <c r="H121" s="79">
        <f t="shared" si="39"/>
        <v>0</v>
      </c>
      <c r="I121" s="105"/>
      <c r="J121" s="80">
        <f>C121-(O121+Q121+S121+U121+W121+Y121+AA121+AC121+AE121+AG121+AI121+AK121+AM121+AO121+AQ121+AS121+AU121+AW121+AY121+BA121+BC121+BE121+BG121+BI121)</f>
        <v>3000</v>
      </c>
      <c r="K121" s="81">
        <f t="shared" si="40"/>
        <v>1170</v>
      </c>
      <c r="L121" s="82">
        <f t="shared" si="41"/>
        <v>0</v>
      </c>
      <c r="M121" s="82">
        <f t="shared" si="62"/>
        <v>0</v>
      </c>
      <c r="O121" s="108"/>
      <c r="P121" s="84">
        <f>O121*E121</f>
        <v>0</v>
      </c>
      <c r="Q121" s="108"/>
      <c r="R121" s="84">
        <f t="shared" si="42"/>
        <v>0</v>
      </c>
      <c r="S121" s="108"/>
      <c r="T121" s="84">
        <f t="shared" si="43"/>
        <v>0</v>
      </c>
      <c r="U121" s="108"/>
      <c r="V121" s="84">
        <f t="shared" si="44"/>
        <v>0</v>
      </c>
      <c r="W121" s="108"/>
      <c r="X121" s="84">
        <f t="shared" si="45"/>
        <v>0</v>
      </c>
      <c r="Y121" s="108"/>
      <c r="Z121" s="84">
        <f t="shared" si="46"/>
        <v>0</v>
      </c>
      <c r="AA121" s="108"/>
      <c r="AB121" s="84">
        <f t="shared" si="47"/>
        <v>0</v>
      </c>
      <c r="AC121" s="108"/>
      <c r="AD121" s="84">
        <f t="shared" si="48"/>
        <v>0</v>
      </c>
      <c r="AE121" s="108"/>
      <c r="AF121" s="84">
        <f t="shared" si="49"/>
        <v>0</v>
      </c>
      <c r="AG121" s="108"/>
      <c r="AH121" s="84">
        <f t="shared" si="50"/>
        <v>0</v>
      </c>
      <c r="AI121" s="108"/>
      <c r="AJ121" s="84">
        <f t="shared" si="51"/>
        <v>0</v>
      </c>
      <c r="AK121" s="108"/>
      <c r="AL121" s="84">
        <f t="shared" si="51"/>
        <v>0</v>
      </c>
      <c r="AM121" s="108"/>
      <c r="AN121" s="84">
        <f>AM121*AC121</f>
        <v>0</v>
      </c>
      <c r="AO121" s="108"/>
      <c r="AP121" s="84">
        <f t="shared" si="52"/>
        <v>0</v>
      </c>
      <c r="AQ121" s="108"/>
      <c r="AR121" s="84">
        <f t="shared" si="53"/>
        <v>0</v>
      </c>
      <c r="AS121" s="108"/>
      <c r="AT121" s="84">
        <f t="shared" si="54"/>
        <v>0</v>
      </c>
      <c r="AU121" s="108"/>
      <c r="AV121" s="84">
        <f t="shared" si="55"/>
        <v>0</v>
      </c>
      <c r="AW121" s="108"/>
      <c r="AX121" s="84">
        <f t="shared" si="56"/>
        <v>0</v>
      </c>
      <c r="AY121" s="108"/>
      <c r="AZ121" s="84">
        <f t="shared" si="57"/>
        <v>0</v>
      </c>
      <c r="BA121" s="108"/>
      <c r="BB121" s="84">
        <f t="shared" si="58"/>
        <v>0</v>
      </c>
      <c r="BC121" s="108"/>
      <c r="BD121" s="84">
        <f t="shared" si="59"/>
        <v>0</v>
      </c>
      <c r="BE121" s="108"/>
      <c r="BF121" s="84">
        <f t="shared" si="60"/>
        <v>0</v>
      </c>
      <c r="BG121" s="108"/>
      <c r="BH121" s="84">
        <f t="shared" si="61"/>
        <v>0</v>
      </c>
      <c r="BI121" s="108"/>
      <c r="BJ121" s="84">
        <f t="shared" si="61"/>
        <v>0</v>
      </c>
    </row>
    <row r="122" spans="1:62" s="106" customFormat="1" ht="12" x14ac:dyDescent="0.2">
      <c r="A122" s="242" t="s">
        <v>546</v>
      </c>
      <c r="B122" s="287" t="s">
        <v>1148</v>
      </c>
      <c r="C122" s="86">
        <v>3000</v>
      </c>
      <c r="D122" s="7" t="s">
        <v>863</v>
      </c>
      <c r="E122" s="247">
        <v>0.28999999999999998</v>
      </c>
      <c r="F122" s="87">
        <f t="shared" si="37"/>
        <v>870</v>
      </c>
      <c r="G122" s="88">
        <f t="shared" si="38"/>
        <v>0</v>
      </c>
      <c r="H122" s="88">
        <f t="shared" si="39"/>
        <v>0</v>
      </c>
      <c r="I122" s="105"/>
      <c r="J122" s="89">
        <f>C122-(O122+Q122+S122+U122+W122+Y122+AA122+AC122+AE122+AG122+AI122+AK122+AM122+AO122+AQ122+AS122+AU122+AW122+AY122+BA122+BC122+BE122+BG122+BI122)</f>
        <v>3000</v>
      </c>
      <c r="K122" s="90">
        <f t="shared" si="40"/>
        <v>869.99999999999989</v>
      </c>
      <c r="L122" s="91">
        <f t="shared" si="41"/>
        <v>0</v>
      </c>
      <c r="M122" s="91">
        <f t="shared" si="62"/>
        <v>0</v>
      </c>
      <c r="O122" s="109"/>
      <c r="P122" s="93">
        <f>O122*E122</f>
        <v>0</v>
      </c>
      <c r="Q122" s="109"/>
      <c r="R122" s="93">
        <f t="shared" si="42"/>
        <v>0</v>
      </c>
      <c r="S122" s="109"/>
      <c r="T122" s="93">
        <f t="shared" si="43"/>
        <v>0</v>
      </c>
      <c r="U122" s="109"/>
      <c r="V122" s="93">
        <f t="shared" si="44"/>
        <v>0</v>
      </c>
      <c r="W122" s="109"/>
      <c r="X122" s="93">
        <f t="shared" si="45"/>
        <v>0</v>
      </c>
      <c r="Y122" s="109"/>
      <c r="Z122" s="93">
        <f t="shared" si="46"/>
        <v>0</v>
      </c>
      <c r="AA122" s="109"/>
      <c r="AB122" s="93">
        <f t="shared" si="47"/>
        <v>0</v>
      </c>
      <c r="AC122" s="109"/>
      <c r="AD122" s="93">
        <f t="shared" si="48"/>
        <v>0</v>
      </c>
      <c r="AE122" s="109"/>
      <c r="AF122" s="93">
        <f t="shared" si="49"/>
        <v>0</v>
      </c>
      <c r="AG122" s="109"/>
      <c r="AH122" s="93">
        <f t="shared" si="50"/>
        <v>0</v>
      </c>
      <c r="AI122" s="109"/>
      <c r="AJ122" s="93">
        <f t="shared" si="51"/>
        <v>0</v>
      </c>
      <c r="AK122" s="109"/>
      <c r="AL122" s="93">
        <f t="shared" si="51"/>
        <v>0</v>
      </c>
      <c r="AM122" s="109"/>
      <c r="AN122" s="93">
        <f>AM122*AC122</f>
        <v>0</v>
      </c>
      <c r="AO122" s="109"/>
      <c r="AP122" s="93">
        <f t="shared" si="52"/>
        <v>0</v>
      </c>
      <c r="AQ122" s="109"/>
      <c r="AR122" s="93">
        <f t="shared" si="53"/>
        <v>0</v>
      </c>
      <c r="AS122" s="109"/>
      <c r="AT122" s="93">
        <f t="shared" si="54"/>
        <v>0</v>
      </c>
      <c r="AU122" s="109"/>
      <c r="AV122" s="93">
        <f t="shared" si="55"/>
        <v>0</v>
      </c>
      <c r="AW122" s="109"/>
      <c r="AX122" s="93">
        <f t="shared" si="56"/>
        <v>0</v>
      </c>
      <c r="AY122" s="109"/>
      <c r="AZ122" s="93">
        <f t="shared" si="57"/>
        <v>0</v>
      </c>
      <c r="BA122" s="109"/>
      <c r="BB122" s="93">
        <f t="shared" si="58"/>
        <v>0</v>
      </c>
      <c r="BC122" s="109"/>
      <c r="BD122" s="93">
        <f t="shared" si="59"/>
        <v>0</v>
      </c>
      <c r="BE122" s="109"/>
      <c r="BF122" s="93">
        <f t="shared" si="60"/>
        <v>0</v>
      </c>
      <c r="BG122" s="109"/>
      <c r="BH122" s="93">
        <f t="shared" si="61"/>
        <v>0</v>
      </c>
      <c r="BI122" s="109"/>
      <c r="BJ122" s="93">
        <f t="shared" si="61"/>
        <v>0</v>
      </c>
    </row>
    <row r="123" spans="1:62" s="106" customFormat="1" ht="12" x14ac:dyDescent="0.2">
      <c r="A123" s="241" t="s">
        <v>547</v>
      </c>
      <c r="B123" s="284" t="s">
        <v>1145</v>
      </c>
      <c r="C123" s="77">
        <v>3000</v>
      </c>
      <c r="D123" s="104" t="s">
        <v>863</v>
      </c>
      <c r="E123" s="246">
        <v>0.19</v>
      </c>
      <c r="F123" s="78">
        <f t="shared" si="37"/>
        <v>570</v>
      </c>
      <c r="G123" s="79">
        <f t="shared" si="38"/>
        <v>0</v>
      </c>
      <c r="H123" s="79">
        <f t="shared" si="39"/>
        <v>0</v>
      </c>
      <c r="I123" s="105"/>
      <c r="J123" s="80">
        <f>C123-(O123+Q123+S123+U123+W123+Y123+AA123+AC123+AE123+AG123+AI123+AK123+AM123+AO123+AQ123+AS123+AU123+AW123+AY123+BA123+BC123+BE123+BG123+BI123)</f>
        <v>3000</v>
      </c>
      <c r="K123" s="81">
        <f t="shared" si="40"/>
        <v>570</v>
      </c>
      <c r="L123" s="82">
        <f t="shared" si="41"/>
        <v>0</v>
      </c>
      <c r="M123" s="82">
        <f t="shared" si="62"/>
        <v>0</v>
      </c>
      <c r="O123" s="108"/>
      <c r="P123" s="84">
        <f>O123*E123</f>
        <v>0</v>
      </c>
      <c r="Q123" s="108"/>
      <c r="R123" s="84">
        <f t="shared" si="42"/>
        <v>0</v>
      </c>
      <c r="S123" s="108"/>
      <c r="T123" s="84">
        <f t="shared" si="43"/>
        <v>0</v>
      </c>
      <c r="U123" s="108"/>
      <c r="V123" s="84">
        <f t="shared" si="44"/>
        <v>0</v>
      </c>
      <c r="W123" s="108"/>
      <c r="X123" s="84">
        <f t="shared" si="45"/>
        <v>0</v>
      </c>
      <c r="Y123" s="108"/>
      <c r="Z123" s="84">
        <f t="shared" si="46"/>
        <v>0</v>
      </c>
      <c r="AA123" s="108"/>
      <c r="AB123" s="84">
        <f t="shared" si="47"/>
        <v>0</v>
      </c>
      <c r="AC123" s="108"/>
      <c r="AD123" s="84">
        <f t="shared" si="48"/>
        <v>0</v>
      </c>
      <c r="AE123" s="108"/>
      <c r="AF123" s="84">
        <f t="shared" si="49"/>
        <v>0</v>
      </c>
      <c r="AG123" s="108"/>
      <c r="AH123" s="84">
        <f t="shared" si="50"/>
        <v>0</v>
      </c>
      <c r="AI123" s="108"/>
      <c r="AJ123" s="84">
        <f t="shared" si="51"/>
        <v>0</v>
      </c>
      <c r="AK123" s="108"/>
      <c r="AL123" s="84">
        <f t="shared" si="51"/>
        <v>0</v>
      </c>
      <c r="AM123" s="108"/>
      <c r="AN123" s="84">
        <f>AM123*AC123</f>
        <v>0</v>
      </c>
      <c r="AO123" s="108"/>
      <c r="AP123" s="84">
        <f t="shared" si="52"/>
        <v>0</v>
      </c>
      <c r="AQ123" s="108"/>
      <c r="AR123" s="84">
        <f t="shared" si="53"/>
        <v>0</v>
      </c>
      <c r="AS123" s="108"/>
      <c r="AT123" s="84">
        <f t="shared" si="54"/>
        <v>0</v>
      </c>
      <c r="AU123" s="108"/>
      <c r="AV123" s="84">
        <f t="shared" si="55"/>
        <v>0</v>
      </c>
      <c r="AW123" s="108"/>
      <c r="AX123" s="84">
        <f t="shared" si="56"/>
        <v>0</v>
      </c>
      <c r="AY123" s="108"/>
      <c r="AZ123" s="84">
        <f t="shared" si="57"/>
        <v>0</v>
      </c>
      <c r="BA123" s="108"/>
      <c r="BB123" s="84">
        <f t="shared" si="58"/>
        <v>0</v>
      </c>
      <c r="BC123" s="108"/>
      <c r="BD123" s="84">
        <f t="shared" si="59"/>
        <v>0</v>
      </c>
      <c r="BE123" s="108"/>
      <c r="BF123" s="84">
        <f t="shared" si="60"/>
        <v>0</v>
      </c>
      <c r="BG123" s="108"/>
      <c r="BH123" s="84">
        <f t="shared" si="61"/>
        <v>0</v>
      </c>
      <c r="BI123" s="108"/>
      <c r="BJ123" s="84">
        <f t="shared" si="61"/>
        <v>0</v>
      </c>
    </row>
    <row r="124" spans="1:62" s="106" customFormat="1" ht="12" x14ac:dyDescent="0.2">
      <c r="A124" s="242" t="s">
        <v>548</v>
      </c>
      <c r="B124" s="285" t="s">
        <v>1146</v>
      </c>
      <c r="C124" s="86">
        <v>75000</v>
      </c>
      <c r="D124" s="7" t="s">
        <v>863</v>
      </c>
      <c r="E124" s="247">
        <v>0.12</v>
      </c>
      <c r="F124" s="87">
        <f t="shared" si="37"/>
        <v>9000</v>
      </c>
      <c r="G124" s="88">
        <f t="shared" si="38"/>
        <v>0</v>
      </c>
      <c r="H124" s="88">
        <f t="shared" si="39"/>
        <v>0</v>
      </c>
      <c r="I124" s="105"/>
      <c r="J124" s="89">
        <f>C124-(O124+Q124+S124+U124+W124+Y124+AA124+AC124+AE124+AG124+AI124+AK124+AM124+AO124+AQ124+AS124+AU124+AW124+AY124+BA124+BC124+BE124+BG124+BI124)</f>
        <v>75000</v>
      </c>
      <c r="K124" s="90">
        <f t="shared" si="40"/>
        <v>9000</v>
      </c>
      <c r="L124" s="91">
        <f t="shared" si="41"/>
        <v>0</v>
      </c>
      <c r="M124" s="91">
        <f t="shared" si="62"/>
        <v>0</v>
      </c>
      <c r="O124" s="109"/>
      <c r="P124" s="93">
        <f>O124*E124</f>
        <v>0</v>
      </c>
      <c r="Q124" s="109"/>
      <c r="R124" s="93">
        <f t="shared" si="42"/>
        <v>0</v>
      </c>
      <c r="S124" s="109"/>
      <c r="T124" s="93">
        <f t="shared" si="43"/>
        <v>0</v>
      </c>
      <c r="U124" s="109"/>
      <c r="V124" s="93">
        <f t="shared" si="44"/>
        <v>0</v>
      </c>
      <c r="W124" s="109"/>
      <c r="X124" s="93">
        <f t="shared" si="45"/>
        <v>0</v>
      </c>
      <c r="Y124" s="109"/>
      <c r="Z124" s="93">
        <f t="shared" si="46"/>
        <v>0</v>
      </c>
      <c r="AA124" s="109"/>
      <c r="AB124" s="93">
        <f t="shared" si="47"/>
        <v>0</v>
      </c>
      <c r="AC124" s="109"/>
      <c r="AD124" s="93">
        <f t="shared" si="48"/>
        <v>0</v>
      </c>
      <c r="AE124" s="109"/>
      <c r="AF124" s="93">
        <f t="shared" si="49"/>
        <v>0</v>
      </c>
      <c r="AG124" s="109"/>
      <c r="AH124" s="93">
        <f t="shared" si="50"/>
        <v>0</v>
      </c>
      <c r="AI124" s="109"/>
      <c r="AJ124" s="93">
        <f t="shared" si="51"/>
        <v>0</v>
      </c>
      <c r="AK124" s="109"/>
      <c r="AL124" s="93">
        <f t="shared" si="51"/>
        <v>0</v>
      </c>
      <c r="AM124" s="109"/>
      <c r="AN124" s="93">
        <f>AM124*AC124</f>
        <v>0</v>
      </c>
      <c r="AO124" s="109"/>
      <c r="AP124" s="93">
        <f t="shared" si="52"/>
        <v>0</v>
      </c>
      <c r="AQ124" s="109"/>
      <c r="AR124" s="93">
        <f t="shared" si="53"/>
        <v>0</v>
      </c>
      <c r="AS124" s="109"/>
      <c r="AT124" s="93">
        <f t="shared" si="54"/>
        <v>0</v>
      </c>
      <c r="AU124" s="109"/>
      <c r="AV124" s="93">
        <f t="shared" si="55"/>
        <v>0</v>
      </c>
      <c r="AW124" s="109"/>
      <c r="AX124" s="93">
        <f t="shared" si="56"/>
        <v>0</v>
      </c>
      <c r="AY124" s="109"/>
      <c r="AZ124" s="93">
        <f t="shared" si="57"/>
        <v>0</v>
      </c>
      <c r="BA124" s="109"/>
      <c r="BB124" s="93">
        <f t="shared" si="58"/>
        <v>0</v>
      </c>
      <c r="BC124" s="109"/>
      <c r="BD124" s="93">
        <f t="shared" si="59"/>
        <v>0</v>
      </c>
      <c r="BE124" s="109"/>
      <c r="BF124" s="93">
        <f t="shared" si="60"/>
        <v>0</v>
      </c>
      <c r="BG124" s="109"/>
      <c r="BH124" s="93">
        <f t="shared" si="61"/>
        <v>0</v>
      </c>
      <c r="BI124" s="109"/>
      <c r="BJ124" s="93">
        <f t="shared" si="61"/>
        <v>0</v>
      </c>
    </row>
    <row r="125" spans="1:62" s="106" customFormat="1" ht="12" x14ac:dyDescent="0.2">
      <c r="A125" s="241" t="s">
        <v>549</v>
      </c>
      <c r="B125" s="284" t="s">
        <v>1147</v>
      </c>
      <c r="C125" s="77">
        <v>188300</v>
      </c>
      <c r="D125" s="104" t="s">
        <v>863</v>
      </c>
      <c r="E125" s="246">
        <v>0.1</v>
      </c>
      <c r="F125" s="78">
        <f t="shared" si="37"/>
        <v>18830</v>
      </c>
      <c r="G125" s="79">
        <f t="shared" si="38"/>
        <v>0</v>
      </c>
      <c r="H125" s="79">
        <f t="shared" si="39"/>
        <v>0</v>
      </c>
      <c r="I125" s="105"/>
      <c r="J125" s="80">
        <f>C125-(O125+Q125+S125+U125+W125+Y125+AA125+AC125+AE125+AG125+AI125+AK125+AM125+AO125+AQ125+AS125+AU125+AW125+AY125+BA125+BC125+BE125+BG125+BI125)</f>
        <v>188300</v>
      </c>
      <c r="K125" s="81">
        <f t="shared" si="40"/>
        <v>18830</v>
      </c>
      <c r="L125" s="82">
        <f t="shared" si="41"/>
        <v>0</v>
      </c>
      <c r="M125" s="82">
        <f t="shared" si="62"/>
        <v>0</v>
      </c>
      <c r="O125" s="108"/>
      <c r="P125" s="84">
        <f>O125*E125</f>
        <v>0</v>
      </c>
      <c r="Q125" s="108"/>
      <c r="R125" s="84">
        <f t="shared" si="42"/>
        <v>0</v>
      </c>
      <c r="S125" s="108"/>
      <c r="T125" s="84">
        <f t="shared" si="43"/>
        <v>0</v>
      </c>
      <c r="U125" s="108"/>
      <c r="V125" s="84">
        <f t="shared" si="44"/>
        <v>0</v>
      </c>
      <c r="W125" s="108"/>
      <c r="X125" s="84">
        <f t="shared" si="45"/>
        <v>0</v>
      </c>
      <c r="Y125" s="108"/>
      <c r="Z125" s="84">
        <f t="shared" si="46"/>
        <v>0</v>
      </c>
      <c r="AA125" s="108"/>
      <c r="AB125" s="84">
        <f t="shared" si="47"/>
        <v>0</v>
      </c>
      <c r="AC125" s="108"/>
      <c r="AD125" s="84">
        <f t="shared" si="48"/>
        <v>0</v>
      </c>
      <c r="AE125" s="108"/>
      <c r="AF125" s="84">
        <f t="shared" si="49"/>
        <v>0</v>
      </c>
      <c r="AG125" s="108"/>
      <c r="AH125" s="84">
        <f t="shared" si="50"/>
        <v>0</v>
      </c>
      <c r="AI125" s="108"/>
      <c r="AJ125" s="84">
        <f t="shared" si="51"/>
        <v>0</v>
      </c>
      <c r="AK125" s="108"/>
      <c r="AL125" s="84">
        <f t="shared" si="51"/>
        <v>0</v>
      </c>
      <c r="AM125" s="108"/>
      <c r="AN125" s="84">
        <f>AM125*AC125</f>
        <v>0</v>
      </c>
      <c r="AO125" s="108"/>
      <c r="AP125" s="84">
        <f t="shared" si="52"/>
        <v>0</v>
      </c>
      <c r="AQ125" s="108"/>
      <c r="AR125" s="84">
        <f t="shared" si="53"/>
        <v>0</v>
      </c>
      <c r="AS125" s="108"/>
      <c r="AT125" s="84">
        <f t="shared" si="54"/>
        <v>0</v>
      </c>
      <c r="AU125" s="108"/>
      <c r="AV125" s="84">
        <f t="shared" si="55"/>
        <v>0</v>
      </c>
      <c r="AW125" s="108"/>
      <c r="AX125" s="84">
        <f t="shared" si="56"/>
        <v>0</v>
      </c>
      <c r="AY125" s="108"/>
      <c r="AZ125" s="84">
        <f t="shared" si="57"/>
        <v>0</v>
      </c>
      <c r="BA125" s="108"/>
      <c r="BB125" s="84">
        <f t="shared" si="58"/>
        <v>0</v>
      </c>
      <c r="BC125" s="108"/>
      <c r="BD125" s="84">
        <f t="shared" si="59"/>
        <v>0</v>
      </c>
      <c r="BE125" s="108"/>
      <c r="BF125" s="84">
        <f t="shared" si="60"/>
        <v>0</v>
      </c>
      <c r="BG125" s="108"/>
      <c r="BH125" s="84">
        <f t="shared" si="61"/>
        <v>0</v>
      </c>
      <c r="BI125" s="108"/>
      <c r="BJ125" s="84">
        <f t="shared" si="61"/>
        <v>0</v>
      </c>
    </row>
    <row r="126" spans="1:62" s="106" customFormat="1" ht="12" x14ac:dyDescent="0.2">
      <c r="A126" s="240"/>
      <c r="B126" s="304"/>
      <c r="C126" s="103"/>
      <c r="D126" s="5"/>
      <c r="E126" s="248"/>
      <c r="F126" s="68"/>
      <c r="G126" s="69"/>
      <c r="H126" s="69"/>
      <c r="I126" s="105"/>
      <c r="J126" s="95"/>
      <c r="K126" s="96"/>
      <c r="L126" s="97"/>
      <c r="M126" s="97"/>
      <c r="O126" s="107"/>
      <c r="P126" s="99"/>
      <c r="Q126" s="107"/>
      <c r="R126" s="99"/>
      <c r="S126" s="107"/>
      <c r="T126" s="99"/>
      <c r="U126" s="107"/>
      <c r="V126" s="99"/>
      <c r="W126" s="107"/>
      <c r="X126" s="99"/>
      <c r="Y126" s="107"/>
      <c r="Z126" s="99"/>
      <c r="AA126" s="107"/>
      <c r="AB126" s="99"/>
      <c r="AC126" s="107"/>
      <c r="AD126" s="99"/>
      <c r="AE126" s="107"/>
      <c r="AF126" s="99"/>
      <c r="AG126" s="107"/>
      <c r="AH126" s="99"/>
      <c r="AI126" s="107"/>
      <c r="AJ126" s="99"/>
      <c r="AK126" s="107"/>
      <c r="AL126" s="99"/>
      <c r="AM126" s="107"/>
      <c r="AN126" s="99"/>
      <c r="AO126" s="107"/>
      <c r="AP126" s="99"/>
      <c r="AQ126" s="107"/>
      <c r="AR126" s="99"/>
      <c r="AS126" s="107"/>
      <c r="AT126" s="99"/>
      <c r="AU126" s="107"/>
      <c r="AV126" s="99"/>
      <c r="AW126" s="107"/>
      <c r="AX126" s="99"/>
      <c r="AY126" s="107"/>
      <c r="AZ126" s="99"/>
      <c r="BA126" s="107"/>
      <c r="BB126" s="99"/>
      <c r="BC126" s="107"/>
      <c r="BD126" s="99"/>
      <c r="BE126" s="107"/>
      <c r="BF126" s="99"/>
      <c r="BG126" s="107"/>
      <c r="BH126" s="99"/>
      <c r="BI126" s="107"/>
      <c r="BJ126" s="99"/>
    </row>
    <row r="127" spans="1:62" s="106" customFormat="1" ht="12" x14ac:dyDescent="0.2">
      <c r="A127" s="241" t="s">
        <v>550</v>
      </c>
      <c r="B127" s="284" t="s">
        <v>1150</v>
      </c>
      <c r="C127" s="77">
        <v>3000</v>
      </c>
      <c r="D127" s="104" t="s">
        <v>863</v>
      </c>
      <c r="E127" s="246">
        <v>0.28999999999999998</v>
      </c>
      <c r="F127" s="78">
        <f t="shared" si="37"/>
        <v>870</v>
      </c>
      <c r="G127" s="79">
        <f t="shared" si="38"/>
        <v>0</v>
      </c>
      <c r="H127" s="79">
        <f t="shared" si="39"/>
        <v>0</v>
      </c>
      <c r="I127" s="105"/>
      <c r="J127" s="80">
        <f>C127-(O127+Q127+S127+U127+W127+Y127+AA127+AC127+AE127+AG127+AI127+AK127+AM127+AO127+AQ127+AS127+AU127+AW127+AY127+BA127+BC127+BE127+BG127+BI127)</f>
        <v>3000</v>
      </c>
      <c r="K127" s="81">
        <f t="shared" si="40"/>
        <v>869.99999999999989</v>
      </c>
      <c r="L127" s="82">
        <f t="shared" si="41"/>
        <v>0</v>
      </c>
      <c r="M127" s="82">
        <f t="shared" si="62"/>
        <v>0</v>
      </c>
      <c r="O127" s="108"/>
      <c r="P127" s="84">
        <f>O127*E127</f>
        <v>0</v>
      </c>
      <c r="Q127" s="108"/>
      <c r="R127" s="84">
        <f t="shared" si="42"/>
        <v>0</v>
      </c>
      <c r="S127" s="108"/>
      <c r="T127" s="84">
        <f t="shared" si="43"/>
        <v>0</v>
      </c>
      <c r="U127" s="108"/>
      <c r="V127" s="84">
        <f t="shared" si="44"/>
        <v>0</v>
      </c>
      <c r="W127" s="108"/>
      <c r="X127" s="84">
        <f t="shared" si="45"/>
        <v>0</v>
      </c>
      <c r="Y127" s="108"/>
      <c r="Z127" s="84">
        <f t="shared" si="46"/>
        <v>0</v>
      </c>
      <c r="AA127" s="108"/>
      <c r="AB127" s="84">
        <f t="shared" si="47"/>
        <v>0</v>
      </c>
      <c r="AC127" s="108"/>
      <c r="AD127" s="84">
        <f t="shared" si="48"/>
        <v>0</v>
      </c>
      <c r="AE127" s="108"/>
      <c r="AF127" s="84">
        <f t="shared" si="49"/>
        <v>0</v>
      </c>
      <c r="AG127" s="108"/>
      <c r="AH127" s="84">
        <f t="shared" si="50"/>
        <v>0</v>
      </c>
      <c r="AI127" s="108"/>
      <c r="AJ127" s="84">
        <f t="shared" si="51"/>
        <v>0</v>
      </c>
      <c r="AK127" s="108"/>
      <c r="AL127" s="84">
        <f t="shared" si="51"/>
        <v>0</v>
      </c>
      <c r="AM127" s="108"/>
      <c r="AN127" s="84">
        <f>AM127*AC127</f>
        <v>0</v>
      </c>
      <c r="AO127" s="108"/>
      <c r="AP127" s="84">
        <f t="shared" si="52"/>
        <v>0</v>
      </c>
      <c r="AQ127" s="108"/>
      <c r="AR127" s="84">
        <f t="shared" si="53"/>
        <v>0</v>
      </c>
      <c r="AS127" s="108"/>
      <c r="AT127" s="84">
        <f t="shared" si="54"/>
        <v>0</v>
      </c>
      <c r="AU127" s="108"/>
      <c r="AV127" s="84">
        <f t="shared" si="55"/>
        <v>0</v>
      </c>
      <c r="AW127" s="108"/>
      <c r="AX127" s="84">
        <f t="shared" si="56"/>
        <v>0</v>
      </c>
      <c r="AY127" s="108"/>
      <c r="AZ127" s="84">
        <f t="shared" si="57"/>
        <v>0</v>
      </c>
      <c r="BA127" s="108"/>
      <c r="BB127" s="84">
        <f t="shared" si="58"/>
        <v>0</v>
      </c>
      <c r="BC127" s="108"/>
      <c r="BD127" s="84">
        <f t="shared" si="59"/>
        <v>0</v>
      </c>
      <c r="BE127" s="108"/>
      <c r="BF127" s="84">
        <f t="shared" si="60"/>
        <v>0</v>
      </c>
      <c r="BG127" s="108"/>
      <c r="BH127" s="84">
        <f t="shared" si="61"/>
        <v>0</v>
      </c>
      <c r="BI127" s="108"/>
      <c r="BJ127" s="84">
        <f t="shared" si="61"/>
        <v>0</v>
      </c>
    </row>
    <row r="128" spans="1:62" s="106" customFormat="1" ht="12" x14ac:dyDescent="0.2">
      <c r="A128" s="242" t="s">
        <v>551</v>
      </c>
      <c r="B128" s="287" t="s">
        <v>1151</v>
      </c>
      <c r="C128" s="86">
        <v>3000</v>
      </c>
      <c r="D128" s="7" t="s">
        <v>863</v>
      </c>
      <c r="E128" s="247">
        <v>0.21</v>
      </c>
      <c r="F128" s="87">
        <f t="shared" si="37"/>
        <v>630</v>
      </c>
      <c r="G128" s="88">
        <f t="shared" si="38"/>
        <v>0</v>
      </c>
      <c r="H128" s="88">
        <f t="shared" si="39"/>
        <v>0</v>
      </c>
      <c r="I128" s="105"/>
      <c r="J128" s="89">
        <f>C128-(O128+Q128+S128+U128+W128+Y128+AA128+AC128+AE128+AG128+AI128+AK128+AM128+AO128+AQ128+AS128+AU128+AW128+AY128+BA128+BC128+BE128+BG128+BI128)</f>
        <v>3000</v>
      </c>
      <c r="K128" s="90">
        <f t="shared" si="40"/>
        <v>630</v>
      </c>
      <c r="L128" s="91">
        <f t="shared" si="41"/>
        <v>0</v>
      </c>
      <c r="M128" s="91">
        <f t="shared" si="62"/>
        <v>0</v>
      </c>
      <c r="O128" s="109"/>
      <c r="P128" s="93">
        <f>O128*E128</f>
        <v>0</v>
      </c>
      <c r="Q128" s="109"/>
      <c r="R128" s="93">
        <f t="shared" si="42"/>
        <v>0</v>
      </c>
      <c r="S128" s="109"/>
      <c r="T128" s="93">
        <f t="shared" si="43"/>
        <v>0</v>
      </c>
      <c r="U128" s="109"/>
      <c r="V128" s="93">
        <f t="shared" si="44"/>
        <v>0</v>
      </c>
      <c r="W128" s="109"/>
      <c r="X128" s="93">
        <f t="shared" si="45"/>
        <v>0</v>
      </c>
      <c r="Y128" s="109"/>
      <c r="Z128" s="93">
        <f t="shared" si="46"/>
        <v>0</v>
      </c>
      <c r="AA128" s="109"/>
      <c r="AB128" s="93">
        <f t="shared" si="47"/>
        <v>0</v>
      </c>
      <c r="AC128" s="109"/>
      <c r="AD128" s="93">
        <f t="shared" si="48"/>
        <v>0</v>
      </c>
      <c r="AE128" s="109"/>
      <c r="AF128" s="93">
        <f t="shared" si="49"/>
        <v>0</v>
      </c>
      <c r="AG128" s="109"/>
      <c r="AH128" s="93">
        <f t="shared" si="50"/>
        <v>0</v>
      </c>
      <c r="AI128" s="109"/>
      <c r="AJ128" s="93">
        <f t="shared" si="51"/>
        <v>0</v>
      </c>
      <c r="AK128" s="109"/>
      <c r="AL128" s="93">
        <f t="shared" si="51"/>
        <v>0</v>
      </c>
      <c r="AM128" s="109"/>
      <c r="AN128" s="93">
        <f>AM128*AC128</f>
        <v>0</v>
      </c>
      <c r="AO128" s="109"/>
      <c r="AP128" s="93">
        <f t="shared" si="52"/>
        <v>0</v>
      </c>
      <c r="AQ128" s="109"/>
      <c r="AR128" s="93">
        <f t="shared" si="53"/>
        <v>0</v>
      </c>
      <c r="AS128" s="109"/>
      <c r="AT128" s="93">
        <f t="shared" si="54"/>
        <v>0</v>
      </c>
      <c r="AU128" s="109"/>
      <c r="AV128" s="93">
        <f t="shared" si="55"/>
        <v>0</v>
      </c>
      <c r="AW128" s="109"/>
      <c r="AX128" s="93">
        <f t="shared" si="56"/>
        <v>0</v>
      </c>
      <c r="AY128" s="109"/>
      <c r="AZ128" s="93">
        <f t="shared" si="57"/>
        <v>0</v>
      </c>
      <c r="BA128" s="109"/>
      <c r="BB128" s="93">
        <f t="shared" si="58"/>
        <v>0</v>
      </c>
      <c r="BC128" s="109"/>
      <c r="BD128" s="93">
        <f t="shared" si="59"/>
        <v>0</v>
      </c>
      <c r="BE128" s="109"/>
      <c r="BF128" s="93">
        <f t="shared" si="60"/>
        <v>0</v>
      </c>
      <c r="BG128" s="109"/>
      <c r="BH128" s="93">
        <f t="shared" si="61"/>
        <v>0</v>
      </c>
      <c r="BI128" s="109"/>
      <c r="BJ128" s="93">
        <f t="shared" si="61"/>
        <v>0</v>
      </c>
    </row>
    <row r="129" spans="1:62" s="106" customFormat="1" ht="12" x14ac:dyDescent="0.2">
      <c r="A129" s="241" t="s">
        <v>552</v>
      </c>
      <c r="B129" s="284" t="s">
        <v>1152</v>
      </c>
      <c r="C129" s="77">
        <v>12000</v>
      </c>
      <c r="D129" s="104" t="s">
        <v>863</v>
      </c>
      <c r="E129" s="246">
        <v>0.14000000000000001</v>
      </c>
      <c r="F129" s="78">
        <f t="shared" si="37"/>
        <v>1680</v>
      </c>
      <c r="G129" s="79">
        <f t="shared" si="38"/>
        <v>0</v>
      </c>
      <c r="H129" s="79">
        <f t="shared" si="39"/>
        <v>0</v>
      </c>
      <c r="I129" s="105"/>
      <c r="J129" s="80">
        <f>C129-(O129+Q129+S129+U129+W129+Y129+AA129+AC129+AE129+AG129+AI129+AK129+AM129+AO129+AQ129+AS129+AU129+AW129+AY129+BA129+BC129+BE129+BG129+BI129)</f>
        <v>12000</v>
      </c>
      <c r="K129" s="81">
        <f t="shared" si="40"/>
        <v>1680.0000000000002</v>
      </c>
      <c r="L129" s="82">
        <f t="shared" si="41"/>
        <v>0</v>
      </c>
      <c r="M129" s="82">
        <f t="shared" si="62"/>
        <v>0</v>
      </c>
      <c r="O129" s="108"/>
      <c r="P129" s="84">
        <f>O129*E129</f>
        <v>0</v>
      </c>
      <c r="Q129" s="108"/>
      <c r="R129" s="84">
        <f t="shared" si="42"/>
        <v>0</v>
      </c>
      <c r="S129" s="108"/>
      <c r="T129" s="84">
        <f t="shared" si="43"/>
        <v>0</v>
      </c>
      <c r="U129" s="108"/>
      <c r="V129" s="84">
        <f t="shared" si="44"/>
        <v>0</v>
      </c>
      <c r="W129" s="108"/>
      <c r="X129" s="84">
        <f t="shared" si="45"/>
        <v>0</v>
      </c>
      <c r="Y129" s="108"/>
      <c r="Z129" s="84">
        <f t="shared" si="46"/>
        <v>0</v>
      </c>
      <c r="AA129" s="108"/>
      <c r="AB129" s="84">
        <f t="shared" si="47"/>
        <v>0</v>
      </c>
      <c r="AC129" s="108"/>
      <c r="AD129" s="84">
        <f t="shared" si="48"/>
        <v>0</v>
      </c>
      <c r="AE129" s="108"/>
      <c r="AF129" s="84">
        <f t="shared" si="49"/>
        <v>0</v>
      </c>
      <c r="AG129" s="108"/>
      <c r="AH129" s="84">
        <f t="shared" si="50"/>
        <v>0</v>
      </c>
      <c r="AI129" s="108"/>
      <c r="AJ129" s="84">
        <f t="shared" si="51"/>
        <v>0</v>
      </c>
      <c r="AK129" s="108"/>
      <c r="AL129" s="84">
        <f t="shared" si="51"/>
        <v>0</v>
      </c>
      <c r="AM129" s="108"/>
      <c r="AN129" s="84">
        <f>AM129*AC129</f>
        <v>0</v>
      </c>
      <c r="AO129" s="108"/>
      <c r="AP129" s="84">
        <f t="shared" si="52"/>
        <v>0</v>
      </c>
      <c r="AQ129" s="108"/>
      <c r="AR129" s="84">
        <f t="shared" si="53"/>
        <v>0</v>
      </c>
      <c r="AS129" s="108"/>
      <c r="AT129" s="84">
        <f t="shared" si="54"/>
        <v>0</v>
      </c>
      <c r="AU129" s="108"/>
      <c r="AV129" s="84">
        <f t="shared" si="55"/>
        <v>0</v>
      </c>
      <c r="AW129" s="108"/>
      <c r="AX129" s="84">
        <f t="shared" si="56"/>
        <v>0</v>
      </c>
      <c r="AY129" s="108"/>
      <c r="AZ129" s="84">
        <f t="shared" si="57"/>
        <v>0</v>
      </c>
      <c r="BA129" s="108"/>
      <c r="BB129" s="84">
        <f t="shared" si="58"/>
        <v>0</v>
      </c>
      <c r="BC129" s="108"/>
      <c r="BD129" s="84">
        <f t="shared" si="59"/>
        <v>0</v>
      </c>
      <c r="BE129" s="108"/>
      <c r="BF129" s="84">
        <f t="shared" si="60"/>
        <v>0</v>
      </c>
      <c r="BG129" s="108"/>
      <c r="BH129" s="84">
        <f t="shared" si="61"/>
        <v>0</v>
      </c>
      <c r="BI129" s="108"/>
      <c r="BJ129" s="84">
        <f t="shared" si="61"/>
        <v>0</v>
      </c>
    </row>
    <row r="130" spans="1:62" s="106" customFormat="1" ht="12" x14ac:dyDescent="0.2">
      <c r="A130" s="242" t="s">
        <v>553</v>
      </c>
      <c r="B130" s="285" t="s">
        <v>1153</v>
      </c>
      <c r="C130" s="86">
        <v>14000</v>
      </c>
      <c r="D130" s="7" t="s">
        <v>863</v>
      </c>
      <c r="E130" s="247">
        <v>0.13</v>
      </c>
      <c r="F130" s="87">
        <f t="shared" si="37"/>
        <v>1820</v>
      </c>
      <c r="G130" s="88">
        <f t="shared" si="38"/>
        <v>0</v>
      </c>
      <c r="H130" s="88">
        <f t="shared" si="39"/>
        <v>0</v>
      </c>
      <c r="I130" s="105"/>
      <c r="J130" s="89">
        <f>C130-(O130+Q130+S130+U130+W130+Y130+AA130+AC130+AE130+AG130+AI130+AK130+AM130+AO130+AQ130+AS130+AU130+AW130+AY130+BA130+BC130+BE130+BG130+BI130)</f>
        <v>14000</v>
      </c>
      <c r="K130" s="90">
        <f t="shared" si="40"/>
        <v>1820</v>
      </c>
      <c r="L130" s="91">
        <f t="shared" si="41"/>
        <v>0</v>
      </c>
      <c r="M130" s="91">
        <f t="shared" si="62"/>
        <v>0</v>
      </c>
      <c r="O130" s="109"/>
      <c r="P130" s="93">
        <f>O130*E130</f>
        <v>0</v>
      </c>
      <c r="Q130" s="109"/>
      <c r="R130" s="93">
        <f t="shared" si="42"/>
        <v>0</v>
      </c>
      <c r="S130" s="109"/>
      <c r="T130" s="93">
        <f t="shared" si="43"/>
        <v>0</v>
      </c>
      <c r="U130" s="109"/>
      <c r="V130" s="93">
        <f t="shared" si="44"/>
        <v>0</v>
      </c>
      <c r="W130" s="109"/>
      <c r="X130" s="93">
        <f t="shared" si="45"/>
        <v>0</v>
      </c>
      <c r="Y130" s="109"/>
      <c r="Z130" s="93">
        <f t="shared" si="46"/>
        <v>0</v>
      </c>
      <c r="AA130" s="109"/>
      <c r="AB130" s="93">
        <f t="shared" si="47"/>
        <v>0</v>
      </c>
      <c r="AC130" s="109"/>
      <c r="AD130" s="93">
        <f t="shared" si="48"/>
        <v>0</v>
      </c>
      <c r="AE130" s="109"/>
      <c r="AF130" s="93">
        <f t="shared" si="49"/>
        <v>0</v>
      </c>
      <c r="AG130" s="109"/>
      <c r="AH130" s="93">
        <f t="shared" si="50"/>
        <v>0</v>
      </c>
      <c r="AI130" s="109"/>
      <c r="AJ130" s="93">
        <f t="shared" si="51"/>
        <v>0</v>
      </c>
      <c r="AK130" s="109"/>
      <c r="AL130" s="93">
        <f t="shared" si="51"/>
        <v>0</v>
      </c>
      <c r="AM130" s="109"/>
      <c r="AN130" s="93">
        <f>AM130*AC130</f>
        <v>0</v>
      </c>
      <c r="AO130" s="109"/>
      <c r="AP130" s="93">
        <f t="shared" si="52"/>
        <v>0</v>
      </c>
      <c r="AQ130" s="109"/>
      <c r="AR130" s="93">
        <f t="shared" si="53"/>
        <v>0</v>
      </c>
      <c r="AS130" s="109"/>
      <c r="AT130" s="93">
        <f t="shared" si="54"/>
        <v>0</v>
      </c>
      <c r="AU130" s="109"/>
      <c r="AV130" s="93">
        <f t="shared" si="55"/>
        <v>0</v>
      </c>
      <c r="AW130" s="109"/>
      <c r="AX130" s="93">
        <f t="shared" si="56"/>
        <v>0</v>
      </c>
      <c r="AY130" s="109"/>
      <c r="AZ130" s="93">
        <f t="shared" si="57"/>
        <v>0</v>
      </c>
      <c r="BA130" s="109"/>
      <c r="BB130" s="93">
        <f t="shared" si="58"/>
        <v>0</v>
      </c>
      <c r="BC130" s="109"/>
      <c r="BD130" s="93">
        <f t="shared" si="59"/>
        <v>0</v>
      </c>
      <c r="BE130" s="109"/>
      <c r="BF130" s="93">
        <f t="shared" si="60"/>
        <v>0</v>
      </c>
      <c r="BG130" s="109"/>
      <c r="BH130" s="93">
        <f t="shared" si="61"/>
        <v>0</v>
      </c>
      <c r="BI130" s="109"/>
      <c r="BJ130" s="93">
        <f t="shared" si="61"/>
        <v>0</v>
      </c>
    </row>
    <row r="131" spans="1:62" s="106" customFormat="1" ht="12" x14ac:dyDescent="0.2">
      <c r="A131" s="240"/>
      <c r="B131" s="304"/>
      <c r="C131" s="103"/>
      <c r="D131" s="5"/>
      <c r="E131" s="248"/>
      <c r="F131" s="68"/>
      <c r="G131" s="69"/>
      <c r="H131" s="69"/>
      <c r="I131" s="105"/>
      <c r="J131" s="95"/>
      <c r="K131" s="96"/>
      <c r="L131" s="97"/>
      <c r="M131" s="97"/>
      <c r="O131" s="107"/>
      <c r="P131" s="99"/>
      <c r="Q131" s="107"/>
      <c r="R131" s="99"/>
      <c r="S131" s="107"/>
      <c r="T131" s="99"/>
      <c r="U131" s="107"/>
      <c r="V131" s="99"/>
      <c r="W131" s="107"/>
      <c r="X131" s="99"/>
      <c r="Y131" s="107"/>
      <c r="Z131" s="99"/>
      <c r="AA131" s="107"/>
      <c r="AB131" s="99"/>
      <c r="AC131" s="107"/>
      <c r="AD131" s="99"/>
      <c r="AE131" s="107"/>
      <c r="AF131" s="99"/>
      <c r="AG131" s="107"/>
      <c r="AH131" s="99"/>
      <c r="AI131" s="107"/>
      <c r="AJ131" s="99"/>
      <c r="AK131" s="107"/>
      <c r="AL131" s="99"/>
      <c r="AM131" s="107"/>
      <c r="AN131" s="99"/>
      <c r="AO131" s="107"/>
      <c r="AP131" s="99"/>
      <c r="AQ131" s="107"/>
      <c r="AR131" s="99"/>
      <c r="AS131" s="107"/>
      <c r="AT131" s="99"/>
      <c r="AU131" s="107"/>
      <c r="AV131" s="99"/>
      <c r="AW131" s="107"/>
      <c r="AX131" s="99"/>
      <c r="AY131" s="107"/>
      <c r="AZ131" s="99"/>
      <c r="BA131" s="107"/>
      <c r="BB131" s="99"/>
      <c r="BC131" s="107"/>
      <c r="BD131" s="99"/>
      <c r="BE131" s="107"/>
      <c r="BF131" s="99"/>
      <c r="BG131" s="107"/>
      <c r="BH131" s="99"/>
      <c r="BI131" s="107"/>
      <c r="BJ131" s="99"/>
    </row>
    <row r="132" spans="1:62" s="106" customFormat="1" ht="12" x14ac:dyDescent="0.2">
      <c r="A132" s="241" t="s">
        <v>554</v>
      </c>
      <c r="B132" s="284" t="s">
        <v>1182</v>
      </c>
      <c r="C132" s="77">
        <v>6500</v>
      </c>
      <c r="D132" s="104" t="s">
        <v>863</v>
      </c>
      <c r="E132" s="246">
        <v>7.71</v>
      </c>
      <c r="F132" s="78">
        <f t="shared" si="37"/>
        <v>50115</v>
      </c>
      <c r="G132" s="79">
        <f t="shared" si="38"/>
        <v>0</v>
      </c>
      <c r="H132" s="79">
        <f t="shared" si="39"/>
        <v>0</v>
      </c>
      <c r="I132" s="105"/>
      <c r="J132" s="80">
        <f>C132-(O132+Q132+S132+U132+W132+Y132+AA132+AC132+AE132+AG132+AI132+AK132+AM132+AO132+AQ132+AS132+AU132+AW132+AY132+BA132+BC132+BE132+BG132+BI132)</f>
        <v>6500</v>
      </c>
      <c r="K132" s="81">
        <f t="shared" si="40"/>
        <v>50115</v>
      </c>
      <c r="L132" s="82">
        <f t="shared" si="41"/>
        <v>0</v>
      </c>
      <c r="M132" s="82">
        <f t="shared" si="62"/>
        <v>0</v>
      </c>
      <c r="O132" s="108"/>
      <c r="P132" s="84">
        <f>O132*E132</f>
        <v>0</v>
      </c>
      <c r="Q132" s="108"/>
      <c r="R132" s="84">
        <f t="shared" si="42"/>
        <v>0</v>
      </c>
      <c r="S132" s="108"/>
      <c r="T132" s="84">
        <f t="shared" si="43"/>
        <v>0</v>
      </c>
      <c r="U132" s="108"/>
      <c r="V132" s="84">
        <f t="shared" si="44"/>
        <v>0</v>
      </c>
      <c r="W132" s="108"/>
      <c r="X132" s="84">
        <f t="shared" si="45"/>
        <v>0</v>
      </c>
      <c r="Y132" s="108"/>
      <c r="Z132" s="84">
        <f t="shared" si="46"/>
        <v>0</v>
      </c>
      <c r="AA132" s="108"/>
      <c r="AB132" s="84">
        <f t="shared" si="47"/>
        <v>0</v>
      </c>
      <c r="AC132" s="108"/>
      <c r="AD132" s="84">
        <f t="shared" si="48"/>
        <v>0</v>
      </c>
      <c r="AE132" s="108"/>
      <c r="AF132" s="84">
        <f t="shared" si="49"/>
        <v>0</v>
      </c>
      <c r="AG132" s="108"/>
      <c r="AH132" s="84">
        <f t="shared" si="50"/>
        <v>0</v>
      </c>
      <c r="AI132" s="108"/>
      <c r="AJ132" s="84">
        <f t="shared" si="51"/>
        <v>0</v>
      </c>
      <c r="AK132" s="108"/>
      <c r="AL132" s="84">
        <f t="shared" si="51"/>
        <v>0</v>
      </c>
      <c r="AM132" s="108"/>
      <c r="AN132" s="84">
        <f>AM132*AC132</f>
        <v>0</v>
      </c>
      <c r="AO132" s="108"/>
      <c r="AP132" s="84">
        <f t="shared" si="52"/>
        <v>0</v>
      </c>
      <c r="AQ132" s="108"/>
      <c r="AR132" s="84">
        <f t="shared" si="53"/>
        <v>0</v>
      </c>
      <c r="AS132" s="108"/>
      <c r="AT132" s="84">
        <f t="shared" si="54"/>
        <v>0</v>
      </c>
      <c r="AU132" s="108"/>
      <c r="AV132" s="84">
        <f t="shared" si="55"/>
        <v>0</v>
      </c>
      <c r="AW132" s="108"/>
      <c r="AX132" s="84">
        <f t="shared" si="56"/>
        <v>0</v>
      </c>
      <c r="AY132" s="108"/>
      <c r="AZ132" s="84">
        <f t="shared" si="57"/>
        <v>0</v>
      </c>
      <c r="BA132" s="108"/>
      <c r="BB132" s="84">
        <f t="shared" si="58"/>
        <v>0</v>
      </c>
      <c r="BC132" s="108"/>
      <c r="BD132" s="84">
        <f t="shared" si="59"/>
        <v>0</v>
      </c>
      <c r="BE132" s="108"/>
      <c r="BF132" s="84">
        <f t="shared" si="60"/>
        <v>0</v>
      </c>
      <c r="BG132" s="108"/>
      <c r="BH132" s="84">
        <f t="shared" si="61"/>
        <v>0</v>
      </c>
      <c r="BI132" s="108"/>
      <c r="BJ132" s="84">
        <f t="shared" si="61"/>
        <v>0</v>
      </c>
    </row>
    <row r="133" spans="1:62" s="106" customFormat="1" ht="12" x14ac:dyDescent="0.2">
      <c r="A133" s="242" t="s">
        <v>555</v>
      </c>
      <c r="B133" s="285" t="s">
        <v>1183</v>
      </c>
      <c r="C133" s="86">
        <v>20000</v>
      </c>
      <c r="D133" s="7" t="s">
        <v>863</v>
      </c>
      <c r="E133" s="247">
        <v>3.85</v>
      </c>
      <c r="F133" s="87">
        <f t="shared" si="37"/>
        <v>77000</v>
      </c>
      <c r="G133" s="88">
        <f t="shared" si="38"/>
        <v>0</v>
      </c>
      <c r="H133" s="88">
        <f t="shared" si="39"/>
        <v>0</v>
      </c>
      <c r="I133" s="105"/>
      <c r="J133" s="89">
        <f>C133-(O133+Q133+S133+U133+W133+Y133+AA133+AC133+AE133+AG133+AI133+AK133+AM133+AO133+AQ133+AS133+AU133+AW133+AY133+BA133+BC133+BE133+BG133+BI133)</f>
        <v>20000</v>
      </c>
      <c r="K133" s="90">
        <f t="shared" si="40"/>
        <v>77000</v>
      </c>
      <c r="L133" s="91">
        <f t="shared" si="41"/>
        <v>0</v>
      </c>
      <c r="M133" s="91">
        <f t="shared" si="62"/>
        <v>0</v>
      </c>
      <c r="O133" s="109"/>
      <c r="P133" s="93">
        <f>O133*E133</f>
        <v>0</v>
      </c>
      <c r="Q133" s="109"/>
      <c r="R133" s="93">
        <f t="shared" si="42"/>
        <v>0</v>
      </c>
      <c r="S133" s="109"/>
      <c r="T133" s="93">
        <f t="shared" si="43"/>
        <v>0</v>
      </c>
      <c r="U133" s="109"/>
      <c r="V133" s="93">
        <f t="shared" si="44"/>
        <v>0</v>
      </c>
      <c r="W133" s="109"/>
      <c r="X133" s="93">
        <f t="shared" si="45"/>
        <v>0</v>
      </c>
      <c r="Y133" s="109"/>
      <c r="Z133" s="93">
        <f t="shared" si="46"/>
        <v>0</v>
      </c>
      <c r="AA133" s="109"/>
      <c r="AB133" s="93">
        <f t="shared" si="47"/>
        <v>0</v>
      </c>
      <c r="AC133" s="109"/>
      <c r="AD133" s="93">
        <f t="shared" si="48"/>
        <v>0</v>
      </c>
      <c r="AE133" s="109"/>
      <c r="AF133" s="93">
        <f t="shared" si="49"/>
        <v>0</v>
      </c>
      <c r="AG133" s="109"/>
      <c r="AH133" s="93">
        <f t="shared" si="50"/>
        <v>0</v>
      </c>
      <c r="AI133" s="109"/>
      <c r="AJ133" s="93">
        <f t="shared" si="51"/>
        <v>0</v>
      </c>
      <c r="AK133" s="109"/>
      <c r="AL133" s="93">
        <f t="shared" si="51"/>
        <v>0</v>
      </c>
      <c r="AM133" s="109"/>
      <c r="AN133" s="93">
        <f>AM133*AC133</f>
        <v>0</v>
      </c>
      <c r="AO133" s="109"/>
      <c r="AP133" s="93">
        <f t="shared" si="52"/>
        <v>0</v>
      </c>
      <c r="AQ133" s="109"/>
      <c r="AR133" s="93">
        <f t="shared" si="53"/>
        <v>0</v>
      </c>
      <c r="AS133" s="109"/>
      <c r="AT133" s="93">
        <f t="shared" si="54"/>
        <v>0</v>
      </c>
      <c r="AU133" s="109"/>
      <c r="AV133" s="93">
        <f t="shared" si="55"/>
        <v>0</v>
      </c>
      <c r="AW133" s="109"/>
      <c r="AX133" s="93">
        <f t="shared" si="56"/>
        <v>0</v>
      </c>
      <c r="AY133" s="109"/>
      <c r="AZ133" s="93">
        <f t="shared" si="57"/>
        <v>0</v>
      </c>
      <c r="BA133" s="109"/>
      <c r="BB133" s="93">
        <f t="shared" si="58"/>
        <v>0</v>
      </c>
      <c r="BC133" s="109"/>
      <c r="BD133" s="93">
        <f t="shared" si="59"/>
        <v>0</v>
      </c>
      <c r="BE133" s="109"/>
      <c r="BF133" s="93">
        <f t="shared" si="60"/>
        <v>0</v>
      </c>
      <c r="BG133" s="109"/>
      <c r="BH133" s="93">
        <f t="shared" si="61"/>
        <v>0</v>
      </c>
      <c r="BI133" s="109"/>
      <c r="BJ133" s="93">
        <f t="shared" si="61"/>
        <v>0</v>
      </c>
    </row>
    <row r="134" spans="1:62" s="106" customFormat="1" ht="12" x14ac:dyDescent="0.2">
      <c r="A134" s="241" t="s">
        <v>556</v>
      </c>
      <c r="B134" s="284" t="s">
        <v>1184</v>
      </c>
      <c r="C134" s="77">
        <v>35000</v>
      </c>
      <c r="D134" s="104" t="s">
        <v>863</v>
      </c>
      <c r="E134" s="246">
        <v>1.93</v>
      </c>
      <c r="F134" s="78">
        <f t="shared" si="37"/>
        <v>67550</v>
      </c>
      <c r="G134" s="79">
        <f t="shared" si="38"/>
        <v>0</v>
      </c>
      <c r="H134" s="79">
        <f t="shared" si="39"/>
        <v>0</v>
      </c>
      <c r="I134" s="105"/>
      <c r="J134" s="80">
        <f>C134-(O134+Q134+S134+U134+W134+Y134+AA134+AC134+AE134+AG134+AI134+AK134+AM134+AO134+AQ134+AS134+AU134+AW134+AY134+BA134+BC134+BE134+BG134+BI134)</f>
        <v>35000</v>
      </c>
      <c r="K134" s="81">
        <f t="shared" si="40"/>
        <v>67550</v>
      </c>
      <c r="L134" s="82">
        <f t="shared" si="41"/>
        <v>0</v>
      </c>
      <c r="M134" s="82">
        <f t="shared" si="62"/>
        <v>0</v>
      </c>
      <c r="O134" s="108"/>
      <c r="P134" s="84">
        <f>O134*E134</f>
        <v>0</v>
      </c>
      <c r="Q134" s="108"/>
      <c r="R134" s="84">
        <f t="shared" si="42"/>
        <v>0</v>
      </c>
      <c r="S134" s="108"/>
      <c r="T134" s="84">
        <f t="shared" si="43"/>
        <v>0</v>
      </c>
      <c r="U134" s="108"/>
      <c r="V134" s="84">
        <f t="shared" si="44"/>
        <v>0</v>
      </c>
      <c r="W134" s="108"/>
      <c r="X134" s="84">
        <f t="shared" si="45"/>
        <v>0</v>
      </c>
      <c r="Y134" s="108"/>
      <c r="Z134" s="84">
        <f t="shared" si="46"/>
        <v>0</v>
      </c>
      <c r="AA134" s="108"/>
      <c r="AB134" s="84">
        <f t="shared" si="47"/>
        <v>0</v>
      </c>
      <c r="AC134" s="108"/>
      <c r="AD134" s="84">
        <f t="shared" si="48"/>
        <v>0</v>
      </c>
      <c r="AE134" s="108"/>
      <c r="AF134" s="84">
        <f t="shared" si="49"/>
        <v>0</v>
      </c>
      <c r="AG134" s="108"/>
      <c r="AH134" s="84">
        <f t="shared" si="50"/>
        <v>0</v>
      </c>
      <c r="AI134" s="108"/>
      <c r="AJ134" s="84">
        <f t="shared" si="51"/>
        <v>0</v>
      </c>
      <c r="AK134" s="108"/>
      <c r="AL134" s="84">
        <f t="shared" si="51"/>
        <v>0</v>
      </c>
      <c r="AM134" s="108"/>
      <c r="AN134" s="84">
        <f>AM134*AC134</f>
        <v>0</v>
      </c>
      <c r="AO134" s="108"/>
      <c r="AP134" s="84">
        <f t="shared" si="52"/>
        <v>0</v>
      </c>
      <c r="AQ134" s="108"/>
      <c r="AR134" s="84">
        <f t="shared" si="53"/>
        <v>0</v>
      </c>
      <c r="AS134" s="108"/>
      <c r="AT134" s="84">
        <f t="shared" si="54"/>
        <v>0</v>
      </c>
      <c r="AU134" s="108"/>
      <c r="AV134" s="84">
        <f t="shared" si="55"/>
        <v>0</v>
      </c>
      <c r="AW134" s="108"/>
      <c r="AX134" s="84">
        <f t="shared" si="56"/>
        <v>0</v>
      </c>
      <c r="AY134" s="108"/>
      <c r="AZ134" s="84">
        <f t="shared" si="57"/>
        <v>0</v>
      </c>
      <c r="BA134" s="108"/>
      <c r="BB134" s="84">
        <f t="shared" si="58"/>
        <v>0</v>
      </c>
      <c r="BC134" s="108"/>
      <c r="BD134" s="84">
        <f t="shared" si="59"/>
        <v>0</v>
      </c>
      <c r="BE134" s="108"/>
      <c r="BF134" s="84">
        <f t="shared" si="60"/>
        <v>0</v>
      </c>
      <c r="BG134" s="108"/>
      <c r="BH134" s="84">
        <f t="shared" si="61"/>
        <v>0</v>
      </c>
      <c r="BI134" s="108"/>
      <c r="BJ134" s="84">
        <f t="shared" si="61"/>
        <v>0</v>
      </c>
    </row>
    <row r="135" spans="1:62" s="106" customFormat="1" ht="12" customHeight="1" x14ac:dyDescent="0.2">
      <c r="A135" s="240"/>
      <c r="B135" s="304"/>
      <c r="C135" s="103"/>
      <c r="D135" s="110"/>
      <c r="E135" s="248"/>
      <c r="F135" s="68"/>
      <c r="G135" s="69"/>
      <c r="H135" s="69"/>
      <c r="I135" s="105"/>
      <c r="J135" s="95"/>
      <c r="K135" s="96"/>
      <c r="L135" s="97"/>
      <c r="M135" s="97"/>
      <c r="O135" s="107"/>
      <c r="P135" s="99"/>
      <c r="Q135" s="107"/>
      <c r="R135" s="99"/>
      <c r="S135" s="107"/>
      <c r="T135" s="99"/>
      <c r="U135" s="107"/>
      <c r="V135" s="99"/>
      <c r="W135" s="107"/>
      <c r="X135" s="99"/>
      <c r="Y135" s="107"/>
      <c r="Z135" s="99"/>
      <c r="AA135" s="107"/>
      <c r="AB135" s="99"/>
      <c r="AC135" s="107"/>
      <c r="AD135" s="99"/>
      <c r="AE135" s="107"/>
      <c r="AF135" s="99"/>
      <c r="AG135" s="107"/>
      <c r="AH135" s="99"/>
      <c r="AI135" s="107"/>
      <c r="AJ135" s="99"/>
      <c r="AK135" s="107"/>
      <c r="AL135" s="99"/>
      <c r="AM135" s="107"/>
      <c r="AN135" s="99"/>
      <c r="AO135" s="107"/>
      <c r="AP135" s="99"/>
      <c r="AQ135" s="107"/>
      <c r="AR135" s="99"/>
      <c r="AS135" s="107"/>
      <c r="AT135" s="99"/>
      <c r="AU135" s="107"/>
      <c r="AV135" s="99"/>
      <c r="AW135" s="107"/>
      <c r="AX135" s="99"/>
      <c r="AY135" s="107"/>
      <c r="AZ135" s="99"/>
      <c r="BA135" s="107"/>
      <c r="BB135" s="99"/>
      <c r="BC135" s="107"/>
      <c r="BD135" s="99"/>
      <c r="BE135" s="107"/>
      <c r="BF135" s="99"/>
      <c r="BG135" s="107"/>
      <c r="BH135" s="99"/>
      <c r="BI135" s="107"/>
      <c r="BJ135" s="99"/>
    </row>
    <row r="136" spans="1:62" s="106" customFormat="1" ht="12" x14ac:dyDescent="0.2">
      <c r="A136" s="241" t="s">
        <v>557</v>
      </c>
      <c r="B136" s="284" t="s">
        <v>1154</v>
      </c>
      <c r="C136" s="77">
        <v>700</v>
      </c>
      <c r="D136" s="6" t="s">
        <v>862</v>
      </c>
      <c r="E136" s="246">
        <v>62.63</v>
      </c>
      <c r="F136" s="78">
        <f t="shared" si="37"/>
        <v>43841</v>
      </c>
      <c r="G136" s="79">
        <f t="shared" si="38"/>
        <v>0</v>
      </c>
      <c r="H136" s="79">
        <f t="shared" si="39"/>
        <v>0</v>
      </c>
      <c r="I136" s="105"/>
      <c r="J136" s="80">
        <f>C136-(O136+Q136+S136+U136+W136+Y136+AA136+AC136+AE136+AG136+AI136+AK136+AM136+AO136+AQ136+AS136+AU136+AW136+AY136+BA136+BC136+BE136+BG136+BI136)</f>
        <v>700</v>
      </c>
      <c r="K136" s="81">
        <f t="shared" si="40"/>
        <v>43841</v>
      </c>
      <c r="L136" s="82">
        <f t="shared" si="41"/>
        <v>0</v>
      </c>
      <c r="M136" s="82">
        <f t="shared" si="62"/>
        <v>0</v>
      </c>
      <c r="O136" s="108"/>
      <c r="P136" s="84">
        <f>O136*E136</f>
        <v>0</v>
      </c>
      <c r="Q136" s="108"/>
      <c r="R136" s="84">
        <f t="shared" si="42"/>
        <v>0</v>
      </c>
      <c r="S136" s="108"/>
      <c r="T136" s="84">
        <f t="shared" si="43"/>
        <v>0</v>
      </c>
      <c r="U136" s="108"/>
      <c r="V136" s="84">
        <f t="shared" si="44"/>
        <v>0</v>
      </c>
      <c r="W136" s="108"/>
      <c r="X136" s="84">
        <f t="shared" si="45"/>
        <v>0</v>
      </c>
      <c r="Y136" s="108"/>
      <c r="Z136" s="84">
        <f t="shared" si="46"/>
        <v>0</v>
      </c>
      <c r="AA136" s="108"/>
      <c r="AB136" s="84">
        <f t="shared" si="47"/>
        <v>0</v>
      </c>
      <c r="AC136" s="108"/>
      <c r="AD136" s="84">
        <f t="shared" si="48"/>
        <v>0</v>
      </c>
      <c r="AE136" s="108"/>
      <c r="AF136" s="84">
        <f t="shared" si="49"/>
        <v>0</v>
      </c>
      <c r="AG136" s="108"/>
      <c r="AH136" s="84">
        <f t="shared" si="50"/>
        <v>0</v>
      </c>
      <c r="AI136" s="108"/>
      <c r="AJ136" s="84">
        <f t="shared" si="51"/>
        <v>0</v>
      </c>
      <c r="AK136" s="108"/>
      <c r="AL136" s="84">
        <f t="shared" si="51"/>
        <v>0</v>
      </c>
      <c r="AM136" s="108"/>
      <c r="AN136" s="84">
        <f>AM136*AC136</f>
        <v>0</v>
      </c>
      <c r="AO136" s="108"/>
      <c r="AP136" s="84">
        <f t="shared" si="52"/>
        <v>0</v>
      </c>
      <c r="AQ136" s="108"/>
      <c r="AR136" s="84">
        <f t="shared" si="53"/>
        <v>0</v>
      </c>
      <c r="AS136" s="108"/>
      <c r="AT136" s="84">
        <f t="shared" si="54"/>
        <v>0</v>
      </c>
      <c r="AU136" s="108"/>
      <c r="AV136" s="84">
        <f t="shared" si="55"/>
        <v>0</v>
      </c>
      <c r="AW136" s="108"/>
      <c r="AX136" s="84">
        <f t="shared" si="56"/>
        <v>0</v>
      </c>
      <c r="AY136" s="108"/>
      <c r="AZ136" s="84">
        <f t="shared" si="57"/>
        <v>0</v>
      </c>
      <c r="BA136" s="108"/>
      <c r="BB136" s="84">
        <f t="shared" si="58"/>
        <v>0</v>
      </c>
      <c r="BC136" s="108"/>
      <c r="BD136" s="84">
        <f t="shared" si="59"/>
        <v>0</v>
      </c>
      <c r="BE136" s="108"/>
      <c r="BF136" s="84">
        <f t="shared" si="60"/>
        <v>0</v>
      </c>
      <c r="BG136" s="108"/>
      <c r="BH136" s="84">
        <f t="shared" si="61"/>
        <v>0</v>
      </c>
      <c r="BI136" s="108"/>
      <c r="BJ136" s="84">
        <f t="shared" si="61"/>
        <v>0</v>
      </c>
    </row>
    <row r="137" spans="1:62" s="106" customFormat="1" ht="12" x14ac:dyDescent="0.2">
      <c r="A137" s="240"/>
      <c r="B137" s="304"/>
      <c r="C137" s="103"/>
      <c r="D137" s="5"/>
      <c r="E137" s="248"/>
      <c r="F137" s="68"/>
      <c r="G137" s="69"/>
      <c r="H137" s="69"/>
      <c r="I137" s="105"/>
      <c r="J137" s="95"/>
      <c r="K137" s="96"/>
      <c r="L137" s="97"/>
      <c r="M137" s="97"/>
      <c r="O137" s="107"/>
      <c r="P137" s="99"/>
      <c r="Q137" s="107"/>
      <c r="R137" s="99"/>
      <c r="S137" s="107"/>
      <c r="T137" s="99"/>
      <c r="U137" s="107"/>
      <c r="V137" s="99"/>
      <c r="W137" s="107"/>
      <c r="X137" s="99"/>
      <c r="Y137" s="107"/>
      <c r="Z137" s="99"/>
      <c r="AA137" s="107"/>
      <c r="AB137" s="99"/>
      <c r="AC137" s="107"/>
      <c r="AD137" s="99"/>
      <c r="AE137" s="107"/>
      <c r="AF137" s="99"/>
      <c r="AG137" s="107"/>
      <c r="AH137" s="99"/>
      <c r="AI137" s="107"/>
      <c r="AJ137" s="99"/>
      <c r="AK137" s="107"/>
      <c r="AL137" s="99"/>
      <c r="AM137" s="107"/>
      <c r="AN137" s="99"/>
      <c r="AO137" s="107"/>
      <c r="AP137" s="99"/>
      <c r="AQ137" s="107"/>
      <c r="AR137" s="99"/>
      <c r="AS137" s="107"/>
      <c r="AT137" s="99"/>
      <c r="AU137" s="107"/>
      <c r="AV137" s="99"/>
      <c r="AW137" s="107"/>
      <c r="AX137" s="99"/>
      <c r="AY137" s="107"/>
      <c r="AZ137" s="99"/>
      <c r="BA137" s="107"/>
      <c r="BB137" s="99"/>
      <c r="BC137" s="107"/>
      <c r="BD137" s="99"/>
      <c r="BE137" s="107"/>
      <c r="BF137" s="99"/>
      <c r="BG137" s="107"/>
      <c r="BH137" s="99"/>
      <c r="BI137" s="107"/>
      <c r="BJ137" s="99"/>
    </row>
    <row r="138" spans="1:62" s="106" customFormat="1" ht="12" x14ac:dyDescent="0.2">
      <c r="A138" s="241" t="s">
        <v>559</v>
      </c>
      <c r="B138" s="284" t="s">
        <v>1155</v>
      </c>
      <c r="C138" s="77">
        <v>90</v>
      </c>
      <c r="D138" s="6" t="s">
        <v>862</v>
      </c>
      <c r="E138" s="246">
        <v>38.54</v>
      </c>
      <c r="F138" s="78">
        <f t="shared" ref="F138:F168" si="66">ROUND(($C138*E138),2)</f>
        <v>3468.6</v>
      </c>
      <c r="G138" s="79">
        <f t="shared" ref="G138:G168" si="67">E138*$G$6</f>
        <v>0</v>
      </c>
      <c r="H138" s="79">
        <f t="shared" ref="H138:H168" si="68">E138*$H$6</f>
        <v>0</v>
      </c>
      <c r="I138" s="105"/>
      <c r="J138" s="80">
        <f t="shared" ref="J138:J160" si="69">C138-(O138+Q138+S138+U138+W138+Y138+AA138+AC138+AE138+AG138+AI138+AK138+AM138+AO138+AQ138+AS138+AU138+AW138+AY138+BA138+BC138+BE138+BG138+BI138)</f>
        <v>90</v>
      </c>
      <c r="K138" s="81">
        <f t="shared" ref="K138:K168" si="70">J138*E138</f>
        <v>3468.6</v>
      </c>
      <c r="L138" s="82">
        <f t="shared" ref="L138:L168" si="71">J138*G138</f>
        <v>0</v>
      </c>
      <c r="M138" s="82">
        <f t="shared" si="62"/>
        <v>0</v>
      </c>
      <c r="O138" s="108"/>
      <c r="P138" s="84">
        <f t="shared" ref="P138:P160" si="72">O138*E138</f>
        <v>0</v>
      </c>
      <c r="Q138" s="108"/>
      <c r="R138" s="84">
        <f t="shared" ref="R138:R168" si="73">Q138*$E138</f>
        <v>0</v>
      </c>
      <c r="S138" s="108"/>
      <c r="T138" s="84">
        <f t="shared" ref="T138:T168" si="74">S138*$E138</f>
        <v>0</v>
      </c>
      <c r="U138" s="108"/>
      <c r="V138" s="84">
        <f t="shared" ref="V138:V168" si="75">U138*$E138</f>
        <v>0</v>
      </c>
      <c r="W138" s="108"/>
      <c r="X138" s="84">
        <f t="shared" ref="X138:X168" si="76">W138*$E138</f>
        <v>0</v>
      </c>
      <c r="Y138" s="108"/>
      <c r="Z138" s="84">
        <f t="shared" ref="Z138:Z168" si="77">Y138*$E138</f>
        <v>0</v>
      </c>
      <c r="AA138" s="108"/>
      <c r="AB138" s="84">
        <f t="shared" ref="AB138:AB168" si="78">AA138*$E138</f>
        <v>0</v>
      </c>
      <c r="AC138" s="108"/>
      <c r="AD138" s="84">
        <f t="shared" ref="AD138:AD168" si="79">AC138*$E138</f>
        <v>0</v>
      </c>
      <c r="AE138" s="108"/>
      <c r="AF138" s="84">
        <f t="shared" ref="AF138:AF168" si="80">AE138*$E138</f>
        <v>0</v>
      </c>
      <c r="AG138" s="108"/>
      <c r="AH138" s="84">
        <f t="shared" ref="AH138:AH168" si="81">AG138*$E138</f>
        <v>0</v>
      </c>
      <c r="AI138" s="108"/>
      <c r="AJ138" s="84">
        <f t="shared" ref="AJ138:AL168" si="82">AI138*$E138</f>
        <v>0</v>
      </c>
      <c r="AK138" s="108"/>
      <c r="AL138" s="84">
        <f t="shared" si="82"/>
        <v>0</v>
      </c>
      <c r="AM138" s="108"/>
      <c r="AN138" s="84">
        <f t="shared" ref="AN138:AN160" si="83">AM138*AC138</f>
        <v>0</v>
      </c>
      <c r="AO138" s="108"/>
      <c r="AP138" s="84">
        <f t="shared" ref="AP138:AP168" si="84">AO138*$E138</f>
        <v>0</v>
      </c>
      <c r="AQ138" s="108"/>
      <c r="AR138" s="84">
        <f t="shared" ref="AR138:AR168" si="85">AQ138*$E138</f>
        <v>0</v>
      </c>
      <c r="AS138" s="108"/>
      <c r="AT138" s="84">
        <f t="shared" ref="AT138:AT168" si="86">AS138*$E138</f>
        <v>0</v>
      </c>
      <c r="AU138" s="108"/>
      <c r="AV138" s="84">
        <f t="shared" ref="AV138:AV168" si="87">AU138*$E138</f>
        <v>0</v>
      </c>
      <c r="AW138" s="108"/>
      <c r="AX138" s="84">
        <f t="shared" ref="AX138:AX168" si="88">AW138*$E138</f>
        <v>0</v>
      </c>
      <c r="AY138" s="108"/>
      <c r="AZ138" s="84">
        <f t="shared" ref="AZ138:AZ168" si="89">AY138*$E138</f>
        <v>0</v>
      </c>
      <c r="BA138" s="108"/>
      <c r="BB138" s="84">
        <f t="shared" ref="BB138:BB168" si="90">BA138*$E138</f>
        <v>0</v>
      </c>
      <c r="BC138" s="108"/>
      <c r="BD138" s="84">
        <f t="shared" ref="BD138:BD168" si="91">BC138*$E138</f>
        <v>0</v>
      </c>
      <c r="BE138" s="108"/>
      <c r="BF138" s="84">
        <f t="shared" ref="BF138:BF168" si="92">BE138*$E138</f>
        <v>0</v>
      </c>
      <c r="BG138" s="108"/>
      <c r="BH138" s="84">
        <f t="shared" ref="BH138:BJ168" si="93">BG138*$E138</f>
        <v>0</v>
      </c>
      <c r="BI138" s="108"/>
      <c r="BJ138" s="84">
        <f t="shared" si="93"/>
        <v>0</v>
      </c>
    </row>
    <row r="139" spans="1:62" s="106" customFormat="1" ht="12" customHeight="1" x14ac:dyDescent="0.2">
      <c r="A139" s="242" t="s">
        <v>560</v>
      </c>
      <c r="B139" s="285" t="s">
        <v>561</v>
      </c>
      <c r="C139" s="86">
        <v>30000</v>
      </c>
      <c r="D139" s="7" t="s">
        <v>858</v>
      </c>
      <c r="E139" s="247">
        <v>0.48</v>
      </c>
      <c r="F139" s="87">
        <f t="shared" si="66"/>
        <v>14400</v>
      </c>
      <c r="G139" s="88">
        <f t="shared" si="67"/>
        <v>0</v>
      </c>
      <c r="H139" s="88">
        <f t="shared" si="68"/>
        <v>0</v>
      </c>
      <c r="I139" s="105"/>
      <c r="J139" s="89">
        <f t="shared" si="69"/>
        <v>30000</v>
      </c>
      <c r="K139" s="90">
        <f t="shared" si="70"/>
        <v>14400</v>
      </c>
      <c r="L139" s="91">
        <f t="shared" si="71"/>
        <v>0</v>
      </c>
      <c r="M139" s="91">
        <f t="shared" si="62"/>
        <v>0</v>
      </c>
      <c r="O139" s="109"/>
      <c r="P139" s="93">
        <f t="shared" si="72"/>
        <v>0</v>
      </c>
      <c r="Q139" s="109"/>
      <c r="R139" s="93">
        <f t="shared" si="73"/>
        <v>0</v>
      </c>
      <c r="S139" s="109"/>
      <c r="T139" s="93">
        <f t="shared" si="74"/>
        <v>0</v>
      </c>
      <c r="U139" s="109"/>
      <c r="V139" s="93">
        <f t="shared" si="75"/>
        <v>0</v>
      </c>
      <c r="W139" s="109"/>
      <c r="X139" s="93">
        <f t="shared" si="76"/>
        <v>0</v>
      </c>
      <c r="Y139" s="109"/>
      <c r="Z139" s="93">
        <f t="shared" si="77"/>
        <v>0</v>
      </c>
      <c r="AA139" s="109"/>
      <c r="AB139" s="93">
        <f t="shared" si="78"/>
        <v>0</v>
      </c>
      <c r="AC139" s="109"/>
      <c r="AD139" s="93">
        <f t="shared" si="79"/>
        <v>0</v>
      </c>
      <c r="AE139" s="109"/>
      <c r="AF139" s="93">
        <f t="shared" si="80"/>
        <v>0</v>
      </c>
      <c r="AG139" s="109"/>
      <c r="AH139" s="93">
        <f t="shared" si="81"/>
        <v>0</v>
      </c>
      <c r="AI139" s="109"/>
      <c r="AJ139" s="93">
        <f t="shared" si="82"/>
        <v>0</v>
      </c>
      <c r="AK139" s="109"/>
      <c r="AL139" s="93">
        <f t="shared" si="82"/>
        <v>0</v>
      </c>
      <c r="AM139" s="109"/>
      <c r="AN139" s="93">
        <f t="shared" si="83"/>
        <v>0</v>
      </c>
      <c r="AO139" s="109"/>
      <c r="AP139" s="93">
        <f t="shared" si="84"/>
        <v>0</v>
      </c>
      <c r="AQ139" s="109"/>
      <c r="AR139" s="93">
        <f t="shared" si="85"/>
        <v>0</v>
      </c>
      <c r="AS139" s="109"/>
      <c r="AT139" s="93">
        <f t="shared" si="86"/>
        <v>0</v>
      </c>
      <c r="AU139" s="109"/>
      <c r="AV139" s="93">
        <f t="shared" si="87"/>
        <v>0</v>
      </c>
      <c r="AW139" s="109"/>
      <c r="AX139" s="93">
        <f t="shared" si="88"/>
        <v>0</v>
      </c>
      <c r="AY139" s="109"/>
      <c r="AZ139" s="93">
        <f t="shared" si="89"/>
        <v>0</v>
      </c>
      <c r="BA139" s="109"/>
      <c r="BB139" s="93">
        <f t="shared" si="90"/>
        <v>0</v>
      </c>
      <c r="BC139" s="109"/>
      <c r="BD139" s="93">
        <f t="shared" si="91"/>
        <v>0</v>
      </c>
      <c r="BE139" s="109"/>
      <c r="BF139" s="93">
        <f t="shared" si="92"/>
        <v>0</v>
      </c>
      <c r="BG139" s="109"/>
      <c r="BH139" s="93">
        <f t="shared" si="93"/>
        <v>0</v>
      </c>
      <c r="BI139" s="109"/>
      <c r="BJ139" s="93">
        <f t="shared" si="93"/>
        <v>0</v>
      </c>
    </row>
    <row r="140" spans="1:62" s="106" customFormat="1" ht="12" customHeight="1" x14ac:dyDescent="0.2">
      <c r="A140" s="241" t="s">
        <v>562</v>
      </c>
      <c r="B140" s="284" t="s">
        <v>563</v>
      </c>
      <c r="C140" s="77">
        <v>3000</v>
      </c>
      <c r="D140" s="6" t="s">
        <v>858</v>
      </c>
      <c r="E140" s="246">
        <v>0.44</v>
      </c>
      <c r="F140" s="78">
        <f t="shared" si="66"/>
        <v>1320</v>
      </c>
      <c r="G140" s="79">
        <f t="shared" si="67"/>
        <v>0</v>
      </c>
      <c r="H140" s="79">
        <f t="shared" si="68"/>
        <v>0</v>
      </c>
      <c r="I140" s="105"/>
      <c r="J140" s="80">
        <f t="shared" si="69"/>
        <v>3000</v>
      </c>
      <c r="K140" s="81">
        <f t="shared" si="70"/>
        <v>1320</v>
      </c>
      <c r="L140" s="82">
        <f t="shared" si="71"/>
        <v>0</v>
      </c>
      <c r="M140" s="82">
        <f t="shared" si="62"/>
        <v>0</v>
      </c>
      <c r="O140" s="108"/>
      <c r="P140" s="84">
        <f t="shared" si="72"/>
        <v>0</v>
      </c>
      <c r="Q140" s="108"/>
      <c r="R140" s="84">
        <f t="shared" si="73"/>
        <v>0</v>
      </c>
      <c r="S140" s="108"/>
      <c r="T140" s="84">
        <f t="shared" si="74"/>
        <v>0</v>
      </c>
      <c r="U140" s="108"/>
      <c r="V140" s="84">
        <f t="shared" si="75"/>
        <v>0</v>
      </c>
      <c r="W140" s="108"/>
      <c r="X140" s="84">
        <f t="shared" si="76"/>
        <v>0</v>
      </c>
      <c r="Y140" s="108"/>
      <c r="Z140" s="84">
        <f t="shared" si="77"/>
        <v>0</v>
      </c>
      <c r="AA140" s="108"/>
      <c r="AB140" s="84">
        <f t="shared" si="78"/>
        <v>0</v>
      </c>
      <c r="AC140" s="108"/>
      <c r="AD140" s="84">
        <f t="shared" si="79"/>
        <v>0</v>
      </c>
      <c r="AE140" s="108"/>
      <c r="AF140" s="84">
        <f t="shared" si="80"/>
        <v>0</v>
      </c>
      <c r="AG140" s="108"/>
      <c r="AH140" s="84">
        <f t="shared" si="81"/>
        <v>0</v>
      </c>
      <c r="AI140" s="108"/>
      <c r="AJ140" s="84">
        <f t="shared" si="82"/>
        <v>0</v>
      </c>
      <c r="AK140" s="108"/>
      <c r="AL140" s="84">
        <f t="shared" si="82"/>
        <v>0</v>
      </c>
      <c r="AM140" s="108"/>
      <c r="AN140" s="84">
        <f t="shared" si="83"/>
        <v>0</v>
      </c>
      <c r="AO140" s="108"/>
      <c r="AP140" s="84">
        <f t="shared" si="84"/>
        <v>0</v>
      </c>
      <c r="AQ140" s="108"/>
      <c r="AR140" s="84">
        <f t="shared" si="85"/>
        <v>0</v>
      </c>
      <c r="AS140" s="108"/>
      <c r="AT140" s="84">
        <f t="shared" si="86"/>
        <v>0</v>
      </c>
      <c r="AU140" s="108"/>
      <c r="AV140" s="84">
        <f t="shared" si="87"/>
        <v>0</v>
      </c>
      <c r="AW140" s="108"/>
      <c r="AX140" s="84">
        <f t="shared" si="88"/>
        <v>0</v>
      </c>
      <c r="AY140" s="108"/>
      <c r="AZ140" s="84">
        <f t="shared" si="89"/>
        <v>0</v>
      </c>
      <c r="BA140" s="108"/>
      <c r="BB140" s="84">
        <f t="shared" si="90"/>
        <v>0</v>
      </c>
      <c r="BC140" s="108"/>
      <c r="BD140" s="84">
        <f t="shared" si="91"/>
        <v>0</v>
      </c>
      <c r="BE140" s="108"/>
      <c r="BF140" s="84">
        <f t="shared" si="92"/>
        <v>0</v>
      </c>
      <c r="BG140" s="108"/>
      <c r="BH140" s="84">
        <f t="shared" si="93"/>
        <v>0</v>
      </c>
      <c r="BI140" s="108"/>
      <c r="BJ140" s="84">
        <f t="shared" si="93"/>
        <v>0</v>
      </c>
    </row>
    <row r="141" spans="1:62" s="106" customFormat="1" ht="12" customHeight="1" x14ac:dyDescent="0.2">
      <c r="A141" s="242" t="s">
        <v>564</v>
      </c>
      <c r="B141" s="285" t="s">
        <v>565</v>
      </c>
      <c r="C141" s="86">
        <v>3000</v>
      </c>
      <c r="D141" s="7" t="s">
        <v>858</v>
      </c>
      <c r="E141" s="247">
        <v>0.24</v>
      </c>
      <c r="F141" s="87">
        <f t="shared" si="66"/>
        <v>720</v>
      </c>
      <c r="G141" s="88">
        <f t="shared" si="67"/>
        <v>0</v>
      </c>
      <c r="H141" s="88">
        <f t="shared" si="68"/>
        <v>0</v>
      </c>
      <c r="I141" s="105"/>
      <c r="J141" s="89">
        <f t="shared" si="69"/>
        <v>3000</v>
      </c>
      <c r="K141" s="90">
        <f t="shared" si="70"/>
        <v>720</v>
      </c>
      <c r="L141" s="91">
        <f t="shared" si="71"/>
        <v>0</v>
      </c>
      <c r="M141" s="91">
        <f t="shared" si="62"/>
        <v>0</v>
      </c>
      <c r="O141" s="109"/>
      <c r="P141" s="93">
        <f t="shared" si="72"/>
        <v>0</v>
      </c>
      <c r="Q141" s="109"/>
      <c r="R141" s="93">
        <f t="shared" si="73"/>
        <v>0</v>
      </c>
      <c r="S141" s="109"/>
      <c r="T141" s="93">
        <f t="shared" si="74"/>
        <v>0</v>
      </c>
      <c r="U141" s="109"/>
      <c r="V141" s="93">
        <f t="shared" si="75"/>
        <v>0</v>
      </c>
      <c r="W141" s="109"/>
      <c r="X141" s="93">
        <f t="shared" si="76"/>
        <v>0</v>
      </c>
      <c r="Y141" s="109"/>
      <c r="Z141" s="93">
        <f t="shared" si="77"/>
        <v>0</v>
      </c>
      <c r="AA141" s="109"/>
      <c r="AB141" s="93">
        <f t="shared" si="78"/>
        <v>0</v>
      </c>
      <c r="AC141" s="109"/>
      <c r="AD141" s="93">
        <f t="shared" si="79"/>
        <v>0</v>
      </c>
      <c r="AE141" s="109"/>
      <c r="AF141" s="93">
        <f t="shared" si="80"/>
        <v>0</v>
      </c>
      <c r="AG141" s="109"/>
      <c r="AH141" s="93">
        <f t="shared" si="81"/>
        <v>0</v>
      </c>
      <c r="AI141" s="109"/>
      <c r="AJ141" s="93">
        <f t="shared" si="82"/>
        <v>0</v>
      </c>
      <c r="AK141" s="109"/>
      <c r="AL141" s="93">
        <f t="shared" si="82"/>
        <v>0</v>
      </c>
      <c r="AM141" s="109"/>
      <c r="AN141" s="93">
        <f t="shared" si="83"/>
        <v>0</v>
      </c>
      <c r="AO141" s="109"/>
      <c r="AP141" s="93">
        <f t="shared" si="84"/>
        <v>0</v>
      </c>
      <c r="AQ141" s="109"/>
      <c r="AR141" s="93">
        <f t="shared" si="85"/>
        <v>0</v>
      </c>
      <c r="AS141" s="109"/>
      <c r="AT141" s="93">
        <f t="shared" si="86"/>
        <v>0</v>
      </c>
      <c r="AU141" s="109"/>
      <c r="AV141" s="93">
        <f t="shared" si="87"/>
        <v>0</v>
      </c>
      <c r="AW141" s="109"/>
      <c r="AX141" s="93">
        <f t="shared" si="88"/>
        <v>0</v>
      </c>
      <c r="AY141" s="109"/>
      <c r="AZ141" s="93">
        <f t="shared" si="89"/>
        <v>0</v>
      </c>
      <c r="BA141" s="109"/>
      <c r="BB141" s="93">
        <f t="shared" si="90"/>
        <v>0</v>
      </c>
      <c r="BC141" s="109"/>
      <c r="BD141" s="93">
        <f t="shared" si="91"/>
        <v>0</v>
      </c>
      <c r="BE141" s="109"/>
      <c r="BF141" s="93">
        <f t="shared" si="92"/>
        <v>0</v>
      </c>
      <c r="BG141" s="109"/>
      <c r="BH141" s="93">
        <f t="shared" si="93"/>
        <v>0</v>
      </c>
      <c r="BI141" s="109"/>
      <c r="BJ141" s="93">
        <f t="shared" si="93"/>
        <v>0</v>
      </c>
    </row>
    <row r="142" spans="1:62" s="106" customFormat="1" ht="12" customHeight="1" x14ac:dyDescent="0.2">
      <c r="A142" s="241" t="s">
        <v>566</v>
      </c>
      <c r="B142" s="284" t="s">
        <v>567</v>
      </c>
      <c r="C142" s="77">
        <v>30000</v>
      </c>
      <c r="D142" s="6" t="s">
        <v>858</v>
      </c>
      <c r="E142" s="246">
        <v>0.19</v>
      </c>
      <c r="F142" s="78">
        <f t="shared" si="66"/>
        <v>5700</v>
      </c>
      <c r="G142" s="79">
        <f t="shared" si="67"/>
        <v>0</v>
      </c>
      <c r="H142" s="79">
        <f t="shared" si="68"/>
        <v>0</v>
      </c>
      <c r="I142" s="105"/>
      <c r="J142" s="80">
        <f t="shared" si="69"/>
        <v>30000</v>
      </c>
      <c r="K142" s="81">
        <f t="shared" si="70"/>
        <v>5700</v>
      </c>
      <c r="L142" s="82">
        <f t="shared" si="71"/>
        <v>0</v>
      </c>
      <c r="M142" s="82">
        <f t="shared" si="62"/>
        <v>0</v>
      </c>
      <c r="O142" s="108"/>
      <c r="P142" s="84">
        <f t="shared" si="72"/>
        <v>0</v>
      </c>
      <c r="Q142" s="108"/>
      <c r="R142" s="84">
        <f t="shared" si="73"/>
        <v>0</v>
      </c>
      <c r="S142" s="108"/>
      <c r="T142" s="84">
        <f t="shared" si="74"/>
        <v>0</v>
      </c>
      <c r="U142" s="108"/>
      <c r="V142" s="84">
        <f t="shared" si="75"/>
        <v>0</v>
      </c>
      <c r="W142" s="108"/>
      <c r="X142" s="84">
        <f t="shared" si="76"/>
        <v>0</v>
      </c>
      <c r="Y142" s="108"/>
      <c r="Z142" s="84">
        <f t="shared" si="77"/>
        <v>0</v>
      </c>
      <c r="AA142" s="108"/>
      <c r="AB142" s="84">
        <f t="shared" si="78"/>
        <v>0</v>
      </c>
      <c r="AC142" s="108"/>
      <c r="AD142" s="84">
        <f t="shared" si="79"/>
        <v>0</v>
      </c>
      <c r="AE142" s="108"/>
      <c r="AF142" s="84">
        <f t="shared" si="80"/>
        <v>0</v>
      </c>
      <c r="AG142" s="108"/>
      <c r="AH142" s="84">
        <f t="shared" si="81"/>
        <v>0</v>
      </c>
      <c r="AI142" s="108"/>
      <c r="AJ142" s="84">
        <f t="shared" si="82"/>
        <v>0</v>
      </c>
      <c r="AK142" s="108"/>
      <c r="AL142" s="84">
        <f t="shared" si="82"/>
        <v>0</v>
      </c>
      <c r="AM142" s="108"/>
      <c r="AN142" s="84">
        <f t="shared" si="83"/>
        <v>0</v>
      </c>
      <c r="AO142" s="108"/>
      <c r="AP142" s="84">
        <f t="shared" si="84"/>
        <v>0</v>
      </c>
      <c r="AQ142" s="108"/>
      <c r="AR142" s="84">
        <f t="shared" si="85"/>
        <v>0</v>
      </c>
      <c r="AS142" s="108"/>
      <c r="AT142" s="84">
        <f t="shared" si="86"/>
        <v>0</v>
      </c>
      <c r="AU142" s="108"/>
      <c r="AV142" s="84">
        <f t="shared" si="87"/>
        <v>0</v>
      </c>
      <c r="AW142" s="108"/>
      <c r="AX142" s="84">
        <f t="shared" si="88"/>
        <v>0</v>
      </c>
      <c r="AY142" s="108"/>
      <c r="AZ142" s="84">
        <f t="shared" si="89"/>
        <v>0</v>
      </c>
      <c r="BA142" s="108"/>
      <c r="BB142" s="84">
        <f t="shared" si="90"/>
        <v>0</v>
      </c>
      <c r="BC142" s="108"/>
      <c r="BD142" s="84">
        <f t="shared" si="91"/>
        <v>0</v>
      </c>
      <c r="BE142" s="108"/>
      <c r="BF142" s="84">
        <f t="shared" si="92"/>
        <v>0</v>
      </c>
      <c r="BG142" s="108"/>
      <c r="BH142" s="84">
        <f t="shared" si="93"/>
        <v>0</v>
      </c>
      <c r="BI142" s="108"/>
      <c r="BJ142" s="84">
        <f t="shared" si="93"/>
        <v>0</v>
      </c>
    </row>
    <row r="143" spans="1:62" s="106" customFormat="1" ht="12" customHeight="1" x14ac:dyDescent="0.2">
      <c r="A143" s="242" t="s">
        <v>568</v>
      </c>
      <c r="B143" s="285" t="s">
        <v>569</v>
      </c>
      <c r="C143" s="86">
        <v>500</v>
      </c>
      <c r="D143" s="7" t="s">
        <v>858</v>
      </c>
      <c r="E143" s="247">
        <v>0.22</v>
      </c>
      <c r="F143" s="87">
        <f t="shared" si="66"/>
        <v>110</v>
      </c>
      <c r="G143" s="88">
        <f t="shared" si="67"/>
        <v>0</v>
      </c>
      <c r="H143" s="88">
        <f t="shared" si="68"/>
        <v>0</v>
      </c>
      <c r="I143" s="105"/>
      <c r="J143" s="89">
        <f t="shared" si="69"/>
        <v>500</v>
      </c>
      <c r="K143" s="90">
        <f t="shared" si="70"/>
        <v>110</v>
      </c>
      <c r="L143" s="91">
        <f t="shared" si="71"/>
        <v>0</v>
      </c>
      <c r="M143" s="91">
        <f t="shared" si="62"/>
        <v>0</v>
      </c>
      <c r="O143" s="109"/>
      <c r="P143" s="93">
        <f t="shared" si="72"/>
        <v>0</v>
      </c>
      <c r="Q143" s="109"/>
      <c r="R143" s="93">
        <f t="shared" si="73"/>
        <v>0</v>
      </c>
      <c r="S143" s="109"/>
      <c r="T143" s="93">
        <f t="shared" si="74"/>
        <v>0</v>
      </c>
      <c r="U143" s="109"/>
      <c r="V143" s="93">
        <f t="shared" si="75"/>
        <v>0</v>
      </c>
      <c r="W143" s="109"/>
      <c r="X143" s="93">
        <f t="shared" si="76"/>
        <v>0</v>
      </c>
      <c r="Y143" s="109"/>
      <c r="Z143" s="93">
        <f t="shared" si="77"/>
        <v>0</v>
      </c>
      <c r="AA143" s="109"/>
      <c r="AB143" s="93">
        <f t="shared" si="78"/>
        <v>0</v>
      </c>
      <c r="AC143" s="109"/>
      <c r="AD143" s="93">
        <f t="shared" si="79"/>
        <v>0</v>
      </c>
      <c r="AE143" s="109"/>
      <c r="AF143" s="93">
        <f t="shared" si="80"/>
        <v>0</v>
      </c>
      <c r="AG143" s="109"/>
      <c r="AH143" s="93">
        <f t="shared" si="81"/>
        <v>0</v>
      </c>
      <c r="AI143" s="109"/>
      <c r="AJ143" s="93">
        <f t="shared" si="82"/>
        <v>0</v>
      </c>
      <c r="AK143" s="109"/>
      <c r="AL143" s="93">
        <f t="shared" si="82"/>
        <v>0</v>
      </c>
      <c r="AM143" s="109"/>
      <c r="AN143" s="93">
        <f t="shared" si="83"/>
        <v>0</v>
      </c>
      <c r="AO143" s="109"/>
      <c r="AP143" s="93">
        <f t="shared" si="84"/>
        <v>0</v>
      </c>
      <c r="AQ143" s="109"/>
      <c r="AR143" s="93">
        <f t="shared" si="85"/>
        <v>0</v>
      </c>
      <c r="AS143" s="109"/>
      <c r="AT143" s="93">
        <f t="shared" si="86"/>
        <v>0</v>
      </c>
      <c r="AU143" s="109"/>
      <c r="AV143" s="93">
        <f t="shared" si="87"/>
        <v>0</v>
      </c>
      <c r="AW143" s="109"/>
      <c r="AX143" s="93">
        <f t="shared" si="88"/>
        <v>0</v>
      </c>
      <c r="AY143" s="109"/>
      <c r="AZ143" s="93">
        <f t="shared" si="89"/>
        <v>0</v>
      </c>
      <c r="BA143" s="109"/>
      <c r="BB143" s="93">
        <f t="shared" si="90"/>
        <v>0</v>
      </c>
      <c r="BC143" s="109"/>
      <c r="BD143" s="93">
        <f t="shared" si="91"/>
        <v>0</v>
      </c>
      <c r="BE143" s="109"/>
      <c r="BF143" s="93">
        <f t="shared" si="92"/>
        <v>0</v>
      </c>
      <c r="BG143" s="109"/>
      <c r="BH143" s="93">
        <f t="shared" si="93"/>
        <v>0</v>
      </c>
      <c r="BI143" s="109"/>
      <c r="BJ143" s="93">
        <f t="shared" si="93"/>
        <v>0</v>
      </c>
    </row>
    <row r="144" spans="1:62" s="106" customFormat="1" ht="12" customHeight="1" x14ac:dyDescent="0.2">
      <c r="A144" s="241" t="s">
        <v>570</v>
      </c>
      <c r="B144" s="284" t="s">
        <v>571</v>
      </c>
      <c r="C144" s="77">
        <v>650000</v>
      </c>
      <c r="D144" s="6" t="s">
        <v>858</v>
      </c>
      <c r="E144" s="246">
        <v>0.14000000000000001</v>
      </c>
      <c r="F144" s="78">
        <f t="shared" si="66"/>
        <v>91000</v>
      </c>
      <c r="G144" s="79">
        <f t="shared" si="67"/>
        <v>0</v>
      </c>
      <c r="H144" s="79">
        <f t="shared" si="68"/>
        <v>0</v>
      </c>
      <c r="I144" s="105"/>
      <c r="J144" s="80">
        <f t="shared" si="69"/>
        <v>650000</v>
      </c>
      <c r="K144" s="81">
        <f t="shared" si="70"/>
        <v>91000.000000000015</v>
      </c>
      <c r="L144" s="82">
        <f t="shared" si="71"/>
        <v>0</v>
      </c>
      <c r="M144" s="82">
        <f t="shared" si="62"/>
        <v>0</v>
      </c>
      <c r="O144" s="108"/>
      <c r="P144" s="84">
        <f t="shared" si="72"/>
        <v>0</v>
      </c>
      <c r="Q144" s="108"/>
      <c r="R144" s="84">
        <f t="shared" si="73"/>
        <v>0</v>
      </c>
      <c r="S144" s="108"/>
      <c r="T144" s="84">
        <f t="shared" si="74"/>
        <v>0</v>
      </c>
      <c r="U144" s="108"/>
      <c r="V144" s="84">
        <f t="shared" si="75"/>
        <v>0</v>
      </c>
      <c r="W144" s="108"/>
      <c r="X144" s="84">
        <f t="shared" si="76"/>
        <v>0</v>
      </c>
      <c r="Y144" s="108"/>
      <c r="Z144" s="84">
        <f t="shared" si="77"/>
        <v>0</v>
      </c>
      <c r="AA144" s="108"/>
      <c r="AB144" s="84">
        <f t="shared" si="78"/>
        <v>0</v>
      </c>
      <c r="AC144" s="108"/>
      <c r="AD144" s="84">
        <f t="shared" si="79"/>
        <v>0</v>
      </c>
      <c r="AE144" s="108"/>
      <c r="AF144" s="84">
        <f t="shared" si="80"/>
        <v>0</v>
      </c>
      <c r="AG144" s="108"/>
      <c r="AH144" s="84">
        <f t="shared" si="81"/>
        <v>0</v>
      </c>
      <c r="AI144" s="108"/>
      <c r="AJ144" s="84">
        <f t="shared" si="82"/>
        <v>0</v>
      </c>
      <c r="AK144" s="108"/>
      <c r="AL144" s="84">
        <f t="shared" si="82"/>
        <v>0</v>
      </c>
      <c r="AM144" s="108"/>
      <c r="AN144" s="84">
        <f t="shared" si="83"/>
        <v>0</v>
      </c>
      <c r="AO144" s="108"/>
      <c r="AP144" s="84">
        <f t="shared" si="84"/>
        <v>0</v>
      </c>
      <c r="AQ144" s="108"/>
      <c r="AR144" s="84">
        <f t="shared" si="85"/>
        <v>0</v>
      </c>
      <c r="AS144" s="108"/>
      <c r="AT144" s="84">
        <f t="shared" si="86"/>
        <v>0</v>
      </c>
      <c r="AU144" s="108"/>
      <c r="AV144" s="84">
        <f t="shared" si="87"/>
        <v>0</v>
      </c>
      <c r="AW144" s="108"/>
      <c r="AX144" s="84">
        <f t="shared" si="88"/>
        <v>0</v>
      </c>
      <c r="AY144" s="108"/>
      <c r="AZ144" s="84">
        <f t="shared" si="89"/>
        <v>0</v>
      </c>
      <c r="BA144" s="108"/>
      <c r="BB144" s="84">
        <f t="shared" si="90"/>
        <v>0</v>
      </c>
      <c r="BC144" s="108"/>
      <c r="BD144" s="84">
        <f t="shared" si="91"/>
        <v>0</v>
      </c>
      <c r="BE144" s="108"/>
      <c r="BF144" s="84">
        <f t="shared" si="92"/>
        <v>0</v>
      </c>
      <c r="BG144" s="108"/>
      <c r="BH144" s="84">
        <f t="shared" si="93"/>
        <v>0</v>
      </c>
      <c r="BI144" s="108"/>
      <c r="BJ144" s="84">
        <f t="shared" si="93"/>
        <v>0</v>
      </c>
    </row>
    <row r="145" spans="1:62" s="106" customFormat="1" ht="12" customHeight="1" x14ac:dyDescent="0.2">
      <c r="A145" s="245" t="s">
        <v>572</v>
      </c>
      <c r="B145" s="288" t="s">
        <v>573</v>
      </c>
      <c r="C145" s="101">
        <v>50000</v>
      </c>
      <c r="D145" s="8" t="s">
        <v>858</v>
      </c>
      <c r="E145" s="257">
        <v>0.08</v>
      </c>
      <c r="F145" s="102">
        <f t="shared" si="66"/>
        <v>4000</v>
      </c>
      <c r="G145" s="88">
        <f t="shared" si="67"/>
        <v>0</v>
      </c>
      <c r="H145" s="88">
        <f t="shared" si="68"/>
        <v>0</v>
      </c>
      <c r="I145" s="105"/>
      <c r="J145" s="89">
        <f t="shared" si="69"/>
        <v>50000</v>
      </c>
      <c r="K145" s="90">
        <f t="shared" si="70"/>
        <v>4000</v>
      </c>
      <c r="L145" s="91">
        <f t="shared" si="71"/>
        <v>0</v>
      </c>
      <c r="M145" s="91">
        <f t="shared" si="62"/>
        <v>0</v>
      </c>
      <c r="O145" s="109"/>
      <c r="P145" s="93">
        <f t="shared" si="72"/>
        <v>0</v>
      </c>
      <c r="Q145" s="109"/>
      <c r="R145" s="93">
        <f t="shared" si="73"/>
        <v>0</v>
      </c>
      <c r="S145" s="109"/>
      <c r="T145" s="93">
        <f t="shared" si="74"/>
        <v>0</v>
      </c>
      <c r="U145" s="109"/>
      <c r="V145" s="93">
        <f t="shared" si="75"/>
        <v>0</v>
      </c>
      <c r="W145" s="109"/>
      <c r="X145" s="93">
        <f t="shared" si="76"/>
        <v>0</v>
      </c>
      <c r="Y145" s="109"/>
      <c r="Z145" s="93">
        <f t="shared" si="77"/>
        <v>0</v>
      </c>
      <c r="AA145" s="109"/>
      <c r="AB145" s="93">
        <f t="shared" si="78"/>
        <v>0</v>
      </c>
      <c r="AC145" s="109"/>
      <c r="AD145" s="93">
        <f t="shared" si="79"/>
        <v>0</v>
      </c>
      <c r="AE145" s="109"/>
      <c r="AF145" s="93">
        <f t="shared" si="80"/>
        <v>0</v>
      </c>
      <c r="AG145" s="109"/>
      <c r="AH145" s="93">
        <f t="shared" si="81"/>
        <v>0</v>
      </c>
      <c r="AI145" s="109"/>
      <c r="AJ145" s="93">
        <f t="shared" si="82"/>
        <v>0</v>
      </c>
      <c r="AK145" s="109"/>
      <c r="AL145" s="93">
        <f t="shared" si="82"/>
        <v>0</v>
      </c>
      <c r="AM145" s="109"/>
      <c r="AN145" s="93">
        <f t="shared" si="83"/>
        <v>0</v>
      </c>
      <c r="AO145" s="109"/>
      <c r="AP145" s="93">
        <f t="shared" si="84"/>
        <v>0</v>
      </c>
      <c r="AQ145" s="109"/>
      <c r="AR145" s="93">
        <f t="shared" si="85"/>
        <v>0</v>
      </c>
      <c r="AS145" s="109"/>
      <c r="AT145" s="93">
        <f t="shared" si="86"/>
        <v>0</v>
      </c>
      <c r="AU145" s="109"/>
      <c r="AV145" s="93">
        <f t="shared" si="87"/>
        <v>0</v>
      </c>
      <c r="AW145" s="109"/>
      <c r="AX145" s="93">
        <f t="shared" si="88"/>
        <v>0</v>
      </c>
      <c r="AY145" s="109"/>
      <c r="AZ145" s="93">
        <f t="shared" si="89"/>
        <v>0</v>
      </c>
      <c r="BA145" s="109"/>
      <c r="BB145" s="93">
        <f t="shared" si="90"/>
        <v>0</v>
      </c>
      <c r="BC145" s="109"/>
      <c r="BD145" s="93">
        <f t="shared" si="91"/>
        <v>0</v>
      </c>
      <c r="BE145" s="109"/>
      <c r="BF145" s="93">
        <f t="shared" si="92"/>
        <v>0</v>
      </c>
      <c r="BG145" s="109"/>
      <c r="BH145" s="93">
        <f t="shared" si="93"/>
        <v>0</v>
      </c>
      <c r="BI145" s="109"/>
      <c r="BJ145" s="93">
        <f t="shared" si="93"/>
        <v>0</v>
      </c>
    </row>
    <row r="146" spans="1:62" s="106" customFormat="1" ht="12" customHeight="1" x14ac:dyDescent="0.2">
      <c r="A146" s="241" t="s">
        <v>574</v>
      </c>
      <c r="B146" s="284" t="s">
        <v>575</v>
      </c>
      <c r="C146" s="77">
        <v>2500</v>
      </c>
      <c r="D146" s="6" t="s">
        <v>858</v>
      </c>
      <c r="E146" s="246">
        <v>0.08</v>
      </c>
      <c r="F146" s="78">
        <f t="shared" si="66"/>
        <v>200</v>
      </c>
      <c r="G146" s="79">
        <f t="shared" si="67"/>
        <v>0</v>
      </c>
      <c r="H146" s="79">
        <f t="shared" si="68"/>
        <v>0</v>
      </c>
      <c r="I146" s="105"/>
      <c r="J146" s="80">
        <f t="shared" si="69"/>
        <v>2500</v>
      </c>
      <c r="K146" s="81">
        <f t="shared" si="70"/>
        <v>200</v>
      </c>
      <c r="L146" s="82">
        <f t="shared" si="71"/>
        <v>0</v>
      </c>
      <c r="M146" s="82">
        <f t="shared" si="62"/>
        <v>0</v>
      </c>
      <c r="O146" s="108"/>
      <c r="P146" s="84">
        <f t="shared" si="72"/>
        <v>0</v>
      </c>
      <c r="Q146" s="108"/>
      <c r="R146" s="84">
        <f t="shared" si="73"/>
        <v>0</v>
      </c>
      <c r="S146" s="108"/>
      <c r="T146" s="84">
        <f t="shared" si="74"/>
        <v>0</v>
      </c>
      <c r="U146" s="108"/>
      <c r="V146" s="84">
        <f t="shared" si="75"/>
        <v>0</v>
      </c>
      <c r="W146" s="108"/>
      <c r="X146" s="84">
        <f t="shared" si="76"/>
        <v>0</v>
      </c>
      <c r="Y146" s="108"/>
      <c r="Z146" s="84">
        <f t="shared" si="77"/>
        <v>0</v>
      </c>
      <c r="AA146" s="108"/>
      <c r="AB146" s="84">
        <f t="shared" si="78"/>
        <v>0</v>
      </c>
      <c r="AC146" s="108"/>
      <c r="AD146" s="84">
        <f t="shared" si="79"/>
        <v>0</v>
      </c>
      <c r="AE146" s="108"/>
      <c r="AF146" s="84">
        <f t="shared" si="80"/>
        <v>0</v>
      </c>
      <c r="AG146" s="108"/>
      <c r="AH146" s="84">
        <f t="shared" si="81"/>
        <v>0</v>
      </c>
      <c r="AI146" s="108"/>
      <c r="AJ146" s="84">
        <f t="shared" si="82"/>
        <v>0</v>
      </c>
      <c r="AK146" s="108"/>
      <c r="AL146" s="84">
        <f t="shared" si="82"/>
        <v>0</v>
      </c>
      <c r="AM146" s="108"/>
      <c r="AN146" s="84">
        <f t="shared" si="83"/>
        <v>0</v>
      </c>
      <c r="AO146" s="108"/>
      <c r="AP146" s="84">
        <f t="shared" si="84"/>
        <v>0</v>
      </c>
      <c r="AQ146" s="108"/>
      <c r="AR146" s="84">
        <f t="shared" si="85"/>
        <v>0</v>
      </c>
      <c r="AS146" s="108"/>
      <c r="AT146" s="84">
        <f t="shared" si="86"/>
        <v>0</v>
      </c>
      <c r="AU146" s="108"/>
      <c r="AV146" s="84">
        <f t="shared" si="87"/>
        <v>0</v>
      </c>
      <c r="AW146" s="108"/>
      <c r="AX146" s="84">
        <f t="shared" si="88"/>
        <v>0</v>
      </c>
      <c r="AY146" s="108"/>
      <c r="AZ146" s="84">
        <f t="shared" si="89"/>
        <v>0</v>
      </c>
      <c r="BA146" s="108"/>
      <c r="BB146" s="84">
        <f t="shared" si="90"/>
        <v>0</v>
      </c>
      <c r="BC146" s="108"/>
      <c r="BD146" s="84">
        <f t="shared" si="91"/>
        <v>0</v>
      </c>
      <c r="BE146" s="108"/>
      <c r="BF146" s="84">
        <f t="shared" si="92"/>
        <v>0</v>
      </c>
      <c r="BG146" s="108"/>
      <c r="BH146" s="84">
        <f t="shared" si="93"/>
        <v>0</v>
      </c>
      <c r="BI146" s="108"/>
      <c r="BJ146" s="84">
        <f t="shared" si="93"/>
        <v>0</v>
      </c>
    </row>
    <row r="147" spans="1:62" s="106" customFormat="1" ht="12" x14ac:dyDescent="0.2">
      <c r="A147" s="242" t="s">
        <v>576</v>
      </c>
      <c r="B147" s="285" t="s">
        <v>577</v>
      </c>
      <c r="C147" s="86">
        <v>70000</v>
      </c>
      <c r="D147" s="7" t="s">
        <v>864</v>
      </c>
      <c r="E147" s="247">
        <v>0.06</v>
      </c>
      <c r="F147" s="87">
        <f t="shared" si="66"/>
        <v>4200</v>
      </c>
      <c r="G147" s="88">
        <f t="shared" si="67"/>
        <v>0</v>
      </c>
      <c r="H147" s="88">
        <f t="shared" si="68"/>
        <v>0</v>
      </c>
      <c r="I147" s="105"/>
      <c r="J147" s="89">
        <f t="shared" si="69"/>
        <v>70000</v>
      </c>
      <c r="K147" s="90">
        <f t="shared" si="70"/>
        <v>4200</v>
      </c>
      <c r="L147" s="91">
        <f t="shared" si="71"/>
        <v>0</v>
      </c>
      <c r="M147" s="91">
        <f t="shared" si="62"/>
        <v>0</v>
      </c>
      <c r="O147" s="109"/>
      <c r="P147" s="93">
        <f t="shared" si="72"/>
        <v>0</v>
      </c>
      <c r="Q147" s="109"/>
      <c r="R147" s="93">
        <f t="shared" si="73"/>
        <v>0</v>
      </c>
      <c r="S147" s="109"/>
      <c r="T147" s="93">
        <f t="shared" si="74"/>
        <v>0</v>
      </c>
      <c r="U147" s="109"/>
      <c r="V147" s="93">
        <f t="shared" si="75"/>
        <v>0</v>
      </c>
      <c r="W147" s="109"/>
      <c r="X147" s="93">
        <f t="shared" si="76"/>
        <v>0</v>
      </c>
      <c r="Y147" s="109"/>
      <c r="Z147" s="93">
        <f t="shared" si="77"/>
        <v>0</v>
      </c>
      <c r="AA147" s="109"/>
      <c r="AB147" s="93">
        <f t="shared" si="78"/>
        <v>0</v>
      </c>
      <c r="AC147" s="109"/>
      <c r="AD147" s="93">
        <f t="shared" si="79"/>
        <v>0</v>
      </c>
      <c r="AE147" s="109"/>
      <c r="AF147" s="93">
        <f t="shared" si="80"/>
        <v>0</v>
      </c>
      <c r="AG147" s="109"/>
      <c r="AH147" s="93">
        <f t="shared" si="81"/>
        <v>0</v>
      </c>
      <c r="AI147" s="109"/>
      <c r="AJ147" s="93">
        <f t="shared" si="82"/>
        <v>0</v>
      </c>
      <c r="AK147" s="109"/>
      <c r="AL147" s="93">
        <f t="shared" si="82"/>
        <v>0</v>
      </c>
      <c r="AM147" s="109"/>
      <c r="AN147" s="93">
        <f t="shared" si="83"/>
        <v>0</v>
      </c>
      <c r="AO147" s="109"/>
      <c r="AP147" s="93">
        <f t="shared" si="84"/>
        <v>0</v>
      </c>
      <c r="AQ147" s="109"/>
      <c r="AR147" s="93">
        <f t="shared" si="85"/>
        <v>0</v>
      </c>
      <c r="AS147" s="109"/>
      <c r="AT147" s="93">
        <f t="shared" si="86"/>
        <v>0</v>
      </c>
      <c r="AU147" s="109"/>
      <c r="AV147" s="93">
        <f t="shared" si="87"/>
        <v>0</v>
      </c>
      <c r="AW147" s="109"/>
      <c r="AX147" s="93">
        <f t="shared" si="88"/>
        <v>0</v>
      </c>
      <c r="AY147" s="109"/>
      <c r="AZ147" s="93">
        <f t="shared" si="89"/>
        <v>0</v>
      </c>
      <c r="BA147" s="109"/>
      <c r="BB147" s="93">
        <f t="shared" si="90"/>
        <v>0</v>
      </c>
      <c r="BC147" s="109"/>
      <c r="BD147" s="93">
        <f t="shared" si="91"/>
        <v>0</v>
      </c>
      <c r="BE147" s="109"/>
      <c r="BF147" s="93">
        <f t="shared" si="92"/>
        <v>0</v>
      </c>
      <c r="BG147" s="109"/>
      <c r="BH147" s="93">
        <f t="shared" si="93"/>
        <v>0</v>
      </c>
      <c r="BI147" s="109"/>
      <c r="BJ147" s="93">
        <f t="shared" si="93"/>
        <v>0</v>
      </c>
    </row>
    <row r="148" spans="1:62" s="106" customFormat="1" ht="12" x14ac:dyDescent="0.2">
      <c r="A148" s="241" t="s">
        <v>578</v>
      </c>
      <c r="B148" s="284" t="s">
        <v>579</v>
      </c>
      <c r="C148" s="77">
        <v>5</v>
      </c>
      <c r="D148" s="6" t="s">
        <v>865</v>
      </c>
      <c r="E148" s="246">
        <v>433.47</v>
      </c>
      <c r="F148" s="78">
        <f t="shared" si="66"/>
        <v>2167.35</v>
      </c>
      <c r="G148" s="79">
        <f t="shared" si="67"/>
        <v>0</v>
      </c>
      <c r="H148" s="79">
        <f t="shared" si="68"/>
        <v>0</v>
      </c>
      <c r="I148" s="105"/>
      <c r="J148" s="80">
        <f t="shared" si="69"/>
        <v>5</v>
      </c>
      <c r="K148" s="81">
        <f t="shared" si="70"/>
        <v>2167.3500000000004</v>
      </c>
      <c r="L148" s="82">
        <f t="shared" si="71"/>
        <v>0</v>
      </c>
      <c r="M148" s="82">
        <f t="shared" si="62"/>
        <v>0</v>
      </c>
      <c r="O148" s="108"/>
      <c r="P148" s="84">
        <f t="shared" si="72"/>
        <v>0</v>
      </c>
      <c r="Q148" s="108"/>
      <c r="R148" s="84">
        <f t="shared" si="73"/>
        <v>0</v>
      </c>
      <c r="S148" s="108"/>
      <c r="T148" s="84">
        <f t="shared" si="74"/>
        <v>0</v>
      </c>
      <c r="U148" s="108"/>
      <c r="V148" s="84">
        <f t="shared" si="75"/>
        <v>0</v>
      </c>
      <c r="W148" s="108"/>
      <c r="X148" s="84">
        <f t="shared" si="76"/>
        <v>0</v>
      </c>
      <c r="Y148" s="108"/>
      <c r="Z148" s="84">
        <f t="shared" si="77"/>
        <v>0</v>
      </c>
      <c r="AA148" s="108"/>
      <c r="AB148" s="84">
        <f t="shared" si="78"/>
        <v>0</v>
      </c>
      <c r="AC148" s="108"/>
      <c r="AD148" s="84">
        <f t="shared" si="79"/>
        <v>0</v>
      </c>
      <c r="AE148" s="108"/>
      <c r="AF148" s="84">
        <f t="shared" si="80"/>
        <v>0</v>
      </c>
      <c r="AG148" s="108"/>
      <c r="AH148" s="84">
        <f t="shared" si="81"/>
        <v>0</v>
      </c>
      <c r="AI148" s="108"/>
      <c r="AJ148" s="84">
        <f t="shared" si="82"/>
        <v>0</v>
      </c>
      <c r="AK148" s="108"/>
      <c r="AL148" s="84">
        <f t="shared" si="82"/>
        <v>0</v>
      </c>
      <c r="AM148" s="108"/>
      <c r="AN148" s="84">
        <f t="shared" si="83"/>
        <v>0</v>
      </c>
      <c r="AO148" s="108"/>
      <c r="AP148" s="84">
        <f t="shared" si="84"/>
        <v>0</v>
      </c>
      <c r="AQ148" s="108"/>
      <c r="AR148" s="84">
        <f t="shared" si="85"/>
        <v>0</v>
      </c>
      <c r="AS148" s="108"/>
      <c r="AT148" s="84">
        <f t="shared" si="86"/>
        <v>0</v>
      </c>
      <c r="AU148" s="108"/>
      <c r="AV148" s="84">
        <f t="shared" si="87"/>
        <v>0</v>
      </c>
      <c r="AW148" s="108"/>
      <c r="AX148" s="84">
        <f t="shared" si="88"/>
        <v>0</v>
      </c>
      <c r="AY148" s="108"/>
      <c r="AZ148" s="84">
        <f t="shared" si="89"/>
        <v>0</v>
      </c>
      <c r="BA148" s="108"/>
      <c r="BB148" s="84">
        <f t="shared" si="90"/>
        <v>0</v>
      </c>
      <c r="BC148" s="108"/>
      <c r="BD148" s="84">
        <f t="shared" si="91"/>
        <v>0</v>
      </c>
      <c r="BE148" s="108"/>
      <c r="BF148" s="84">
        <f t="shared" si="92"/>
        <v>0</v>
      </c>
      <c r="BG148" s="108"/>
      <c r="BH148" s="84">
        <f t="shared" si="93"/>
        <v>0</v>
      </c>
      <c r="BI148" s="108"/>
      <c r="BJ148" s="84">
        <f t="shared" si="93"/>
        <v>0</v>
      </c>
    </row>
    <row r="149" spans="1:62" s="106" customFormat="1" ht="12" x14ac:dyDescent="0.2">
      <c r="A149" s="242" t="s">
        <v>580</v>
      </c>
      <c r="B149" s="285" t="s">
        <v>581</v>
      </c>
      <c r="C149" s="86">
        <v>9000</v>
      </c>
      <c r="D149" s="7" t="s">
        <v>866</v>
      </c>
      <c r="E149" s="247">
        <v>0.1</v>
      </c>
      <c r="F149" s="87">
        <f t="shared" si="66"/>
        <v>900</v>
      </c>
      <c r="G149" s="88">
        <f t="shared" si="67"/>
        <v>0</v>
      </c>
      <c r="H149" s="88">
        <f t="shared" si="68"/>
        <v>0</v>
      </c>
      <c r="I149" s="105"/>
      <c r="J149" s="89">
        <f t="shared" si="69"/>
        <v>9000</v>
      </c>
      <c r="K149" s="90">
        <f t="shared" si="70"/>
        <v>900</v>
      </c>
      <c r="L149" s="91">
        <f t="shared" si="71"/>
        <v>0</v>
      </c>
      <c r="M149" s="91">
        <f t="shared" ref="M149:M168" si="94">J149*H149</f>
        <v>0</v>
      </c>
      <c r="O149" s="109"/>
      <c r="P149" s="93">
        <f t="shared" si="72"/>
        <v>0</v>
      </c>
      <c r="Q149" s="109"/>
      <c r="R149" s="93">
        <f t="shared" si="73"/>
        <v>0</v>
      </c>
      <c r="S149" s="109"/>
      <c r="T149" s="93">
        <f t="shared" si="74"/>
        <v>0</v>
      </c>
      <c r="U149" s="109"/>
      <c r="V149" s="93">
        <f t="shared" si="75"/>
        <v>0</v>
      </c>
      <c r="W149" s="109"/>
      <c r="X149" s="93">
        <f t="shared" si="76"/>
        <v>0</v>
      </c>
      <c r="Y149" s="109"/>
      <c r="Z149" s="93">
        <f t="shared" si="77"/>
        <v>0</v>
      </c>
      <c r="AA149" s="109"/>
      <c r="AB149" s="93">
        <f t="shared" si="78"/>
        <v>0</v>
      </c>
      <c r="AC149" s="109"/>
      <c r="AD149" s="93">
        <f t="shared" si="79"/>
        <v>0</v>
      </c>
      <c r="AE149" s="109"/>
      <c r="AF149" s="93">
        <f t="shared" si="80"/>
        <v>0</v>
      </c>
      <c r="AG149" s="109"/>
      <c r="AH149" s="93">
        <f t="shared" si="81"/>
        <v>0</v>
      </c>
      <c r="AI149" s="109"/>
      <c r="AJ149" s="93">
        <f t="shared" si="82"/>
        <v>0</v>
      </c>
      <c r="AK149" s="109"/>
      <c r="AL149" s="93">
        <f t="shared" si="82"/>
        <v>0</v>
      </c>
      <c r="AM149" s="109"/>
      <c r="AN149" s="93">
        <f t="shared" si="83"/>
        <v>0</v>
      </c>
      <c r="AO149" s="109"/>
      <c r="AP149" s="93">
        <f t="shared" si="84"/>
        <v>0</v>
      </c>
      <c r="AQ149" s="109"/>
      <c r="AR149" s="93">
        <f t="shared" si="85"/>
        <v>0</v>
      </c>
      <c r="AS149" s="109"/>
      <c r="AT149" s="93">
        <f t="shared" si="86"/>
        <v>0</v>
      </c>
      <c r="AU149" s="109"/>
      <c r="AV149" s="93">
        <f t="shared" si="87"/>
        <v>0</v>
      </c>
      <c r="AW149" s="109"/>
      <c r="AX149" s="93">
        <f t="shared" si="88"/>
        <v>0</v>
      </c>
      <c r="AY149" s="109"/>
      <c r="AZ149" s="93">
        <f t="shared" si="89"/>
        <v>0</v>
      </c>
      <c r="BA149" s="109"/>
      <c r="BB149" s="93">
        <f t="shared" si="90"/>
        <v>0</v>
      </c>
      <c r="BC149" s="109"/>
      <c r="BD149" s="93">
        <f t="shared" si="91"/>
        <v>0</v>
      </c>
      <c r="BE149" s="109"/>
      <c r="BF149" s="93">
        <f t="shared" si="92"/>
        <v>0</v>
      </c>
      <c r="BG149" s="109"/>
      <c r="BH149" s="93">
        <f t="shared" si="93"/>
        <v>0</v>
      </c>
      <c r="BI149" s="109"/>
      <c r="BJ149" s="93">
        <f t="shared" si="93"/>
        <v>0</v>
      </c>
    </row>
    <row r="150" spans="1:62" s="106" customFormat="1" ht="12" x14ac:dyDescent="0.2">
      <c r="A150" s="241" t="s">
        <v>582</v>
      </c>
      <c r="B150" s="284" t="s">
        <v>583</v>
      </c>
      <c r="C150" s="77">
        <v>30000</v>
      </c>
      <c r="D150" s="6" t="s">
        <v>858</v>
      </c>
      <c r="E150" s="246">
        <v>0.05</v>
      </c>
      <c r="F150" s="78">
        <f t="shared" si="66"/>
        <v>1500</v>
      </c>
      <c r="G150" s="79">
        <f t="shared" si="67"/>
        <v>0</v>
      </c>
      <c r="H150" s="79">
        <f t="shared" si="68"/>
        <v>0</v>
      </c>
      <c r="I150" s="105"/>
      <c r="J150" s="80">
        <f t="shared" si="69"/>
        <v>30000</v>
      </c>
      <c r="K150" s="81">
        <f t="shared" si="70"/>
        <v>1500</v>
      </c>
      <c r="L150" s="82">
        <f t="shared" si="71"/>
        <v>0</v>
      </c>
      <c r="M150" s="82">
        <f t="shared" si="94"/>
        <v>0</v>
      </c>
      <c r="O150" s="108"/>
      <c r="P150" s="84">
        <f t="shared" si="72"/>
        <v>0</v>
      </c>
      <c r="Q150" s="108"/>
      <c r="R150" s="84">
        <f t="shared" si="73"/>
        <v>0</v>
      </c>
      <c r="S150" s="108"/>
      <c r="T150" s="84">
        <f t="shared" si="74"/>
        <v>0</v>
      </c>
      <c r="U150" s="108"/>
      <c r="V150" s="84">
        <f t="shared" si="75"/>
        <v>0</v>
      </c>
      <c r="W150" s="108"/>
      <c r="X150" s="84">
        <f t="shared" si="76"/>
        <v>0</v>
      </c>
      <c r="Y150" s="108"/>
      <c r="Z150" s="84">
        <f t="shared" si="77"/>
        <v>0</v>
      </c>
      <c r="AA150" s="108"/>
      <c r="AB150" s="84">
        <f t="shared" si="78"/>
        <v>0</v>
      </c>
      <c r="AC150" s="108"/>
      <c r="AD150" s="84">
        <f t="shared" si="79"/>
        <v>0</v>
      </c>
      <c r="AE150" s="108"/>
      <c r="AF150" s="84">
        <f t="shared" si="80"/>
        <v>0</v>
      </c>
      <c r="AG150" s="108"/>
      <c r="AH150" s="84">
        <f t="shared" si="81"/>
        <v>0</v>
      </c>
      <c r="AI150" s="108"/>
      <c r="AJ150" s="84">
        <f t="shared" si="82"/>
        <v>0</v>
      </c>
      <c r="AK150" s="108"/>
      <c r="AL150" s="84">
        <f t="shared" si="82"/>
        <v>0</v>
      </c>
      <c r="AM150" s="108"/>
      <c r="AN150" s="84">
        <f t="shared" si="83"/>
        <v>0</v>
      </c>
      <c r="AO150" s="108"/>
      <c r="AP150" s="84">
        <f t="shared" si="84"/>
        <v>0</v>
      </c>
      <c r="AQ150" s="108"/>
      <c r="AR150" s="84">
        <f t="shared" si="85"/>
        <v>0</v>
      </c>
      <c r="AS150" s="108"/>
      <c r="AT150" s="84">
        <f t="shared" si="86"/>
        <v>0</v>
      </c>
      <c r="AU150" s="108"/>
      <c r="AV150" s="84">
        <f t="shared" si="87"/>
        <v>0</v>
      </c>
      <c r="AW150" s="108"/>
      <c r="AX150" s="84">
        <f t="shared" si="88"/>
        <v>0</v>
      </c>
      <c r="AY150" s="108"/>
      <c r="AZ150" s="84">
        <f t="shared" si="89"/>
        <v>0</v>
      </c>
      <c r="BA150" s="108"/>
      <c r="BB150" s="84">
        <f t="shared" si="90"/>
        <v>0</v>
      </c>
      <c r="BC150" s="108"/>
      <c r="BD150" s="84">
        <f t="shared" si="91"/>
        <v>0</v>
      </c>
      <c r="BE150" s="108"/>
      <c r="BF150" s="84">
        <f t="shared" si="92"/>
        <v>0</v>
      </c>
      <c r="BG150" s="108"/>
      <c r="BH150" s="84">
        <f t="shared" si="93"/>
        <v>0</v>
      </c>
      <c r="BI150" s="108"/>
      <c r="BJ150" s="84">
        <f t="shared" si="93"/>
        <v>0</v>
      </c>
    </row>
    <row r="151" spans="1:62" s="106" customFormat="1" ht="12" x14ac:dyDescent="0.2">
      <c r="A151" s="242" t="s">
        <v>584</v>
      </c>
      <c r="B151" s="285" t="s">
        <v>585</v>
      </c>
      <c r="C151" s="86">
        <v>700000</v>
      </c>
      <c r="D151" s="7" t="s">
        <v>858</v>
      </c>
      <c r="E151" s="247">
        <v>0.06</v>
      </c>
      <c r="F151" s="87">
        <f t="shared" si="66"/>
        <v>42000</v>
      </c>
      <c r="G151" s="88">
        <f t="shared" si="67"/>
        <v>0</v>
      </c>
      <c r="H151" s="88">
        <f t="shared" si="68"/>
        <v>0</v>
      </c>
      <c r="I151" s="105"/>
      <c r="J151" s="89">
        <f t="shared" si="69"/>
        <v>700000</v>
      </c>
      <c r="K151" s="90">
        <f t="shared" si="70"/>
        <v>42000</v>
      </c>
      <c r="L151" s="91">
        <f t="shared" si="71"/>
        <v>0</v>
      </c>
      <c r="M151" s="91">
        <f t="shared" si="94"/>
        <v>0</v>
      </c>
      <c r="O151" s="109"/>
      <c r="P151" s="93">
        <f t="shared" si="72"/>
        <v>0</v>
      </c>
      <c r="Q151" s="109"/>
      <c r="R151" s="93">
        <f t="shared" si="73"/>
        <v>0</v>
      </c>
      <c r="S151" s="109"/>
      <c r="T151" s="93">
        <f t="shared" si="74"/>
        <v>0</v>
      </c>
      <c r="U151" s="109"/>
      <c r="V151" s="93">
        <f t="shared" si="75"/>
        <v>0</v>
      </c>
      <c r="W151" s="109"/>
      <c r="X151" s="93">
        <f t="shared" si="76"/>
        <v>0</v>
      </c>
      <c r="Y151" s="109"/>
      <c r="Z151" s="93">
        <f t="shared" si="77"/>
        <v>0</v>
      </c>
      <c r="AA151" s="109"/>
      <c r="AB151" s="93">
        <f t="shared" si="78"/>
        <v>0</v>
      </c>
      <c r="AC151" s="109"/>
      <c r="AD151" s="93">
        <f t="shared" si="79"/>
        <v>0</v>
      </c>
      <c r="AE151" s="109"/>
      <c r="AF151" s="93">
        <f t="shared" si="80"/>
        <v>0</v>
      </c>
      <c r="AG151" s="109"/>
      <c r="AH151" s="93">
        <f t="shared" si="81"/>
        <v>0</v>
      </c>
      <c r="AI151" s="109"/>
      <c r="AJ151" s="93">
        <f t="shared" si="82"/>
        <v>0</v>
      </c>
      <c r="AK151" s="109"/>
      <c r="AL151" s="93">
        <f t="shared" si="82"/>
        <v>0</v>
      </c>
      <c r="AM151" s="109"/>
      <c r="AN151" s="93">
        <f t="shared" si="83"/>
        <v>0</v>
      </c>
      <c r="AO151" s="109"/>
      <c r="AP151" s="93">
        <f t="shared" si="84"/>
        <v>0</v>
      </c>
      <c r="AQ151" s="109"/>
      <c r="AR151" s="93">
        <f t="shared" si="85"/>
        <v>0</v>
      </c>
      <c r="AS151" s="109"/>
      <c r="AT151" s="93">
        <f t="shared" si="86"/>
        <v>0</v>
      </c>
      <c r="AU151" s="109"/>
      <c r="AV151" s="93">
        <f t="shared" si="87"/>
        <v>0</v>
      </c>
      <c r="AW151" s="109"/>
      <c r="AX151" s="93">
        <f t="shared" si="88"/>
        <v>0</v>
      </c>
      <c r="AY151" s="109"/>
      <c r="AZ151" s="93">
        <f t="shared" si="89"/>
        <v>0</v>
      </c>
      <c r="BA151" s="109"/>
      <c r="BB151" s="93">
        <f t="shared" si="90"/>
        <v>0</v>
      </c>
      <c r="BC151" s="109"/>
      <c r="BD151" s="93">
        <f t="shared" si="91"/>
        <v>0</v>
      </c>
      <c r="BE151" s="109"/>
      <c r="BF151" s="93">
        <f t="shared" si="92"/>
        <v>0</v>
      </c>
      <c r="BG151" s="109"/>
      <c r="BH151" s="93">
        <f t="shared" si="93"/>
        <v>0</v>
      </c>
      <c r="BI151" s="109"/>
      <c r="BJ151" s="93">
        <f t="shared" si="93"/>
        <v>0</v>
      </c>
    </row>
    <row r="152" spans="1:62" s="106" customFormat="1" ht="12" x14ac:dyDescent="0.2">
      <c r="A152" s="241" t="s">
        <v>586</v>
      </c>
      <c r="B152" s="284" t="s">
        <v>587</v>
      </c>
      <c r="C152" s="77">
        <v>20000</v>
      </c>
      <c r="D152" s="6" t="s">
        <v>865</v>
      </c>
      <c r="E152" s="246">
        <v>0.1</v>
      </c>
      <c r="F152" s="78">
        <f t="shared" si="66"/>
        <v>2000</v>
      </c>
      <c r="G152" s="79">
        <f t="shared" si="67"/>
        <v>0</v>
      </c>
      <c r="H152" s="79">
        <f t="shared" si="68"/>
        <v>0</v>
      </c>
      <c r="I152" s="105"/>
      <c r="J152" s="80">
        <f t="shared" si="69"/>
        <v>20000</v>
      </c>
      <c r="K152" s="81">
        <f t="shared" si="70"/>
        <v>2000</v>
      </c>
      <c r="L152" s="82">
        <f t="shared" si="71"/>
        <v>0</v>
      </c>
      <c r="M152" s="82">
        <f t="shared" si="94"/>
        <v>0</v>
      </c>
      <c r="O152" s="108"/>
      <c r="P152" s="84">
        <f t="shared" si="72"/>
        <v>0</v>
      </c>
      <c r="Q152" s="108"/>
      <c r="R152" s="84">
        <f t="shared" si="73"/>
        <v>0</v>
      </c>
      <c r="S152" s="108"/>
      <c r="T152" s="84">
        <f t="shared" si="74"/>
        <v>0</v>
      </c>
      <c r="U152" s="108"/>
      <c r="V152" s="84">
        <f t="shared" si="75"/>
        <v>0</v>
      </c>
      <c r="W152" s="108"/>
      <c r="X152" s="84">
        <f t="shared" si="76"/>
        <v>0</v>
      </c>
      <c r="Y152" s="108"/>
      <c r="Z152" s="84">
        <f t="shared" si="77"/>
        <v>0</v>
      </c>
      <c r="AA152" s="108"/>
      <c r="AB152" s="84">
        <f t="shared" si="78"/>
        <v>0</v>
      </c>
      <c r="AC152" s="108"/>
      <c r="AD152" s="84">
        <f t="shared" si="79"/>
        <v>0</v>
      </c>
      <c r="AE152" s="108"/>
      <c r="AF152" s="84">
        <f t="shared" si="80"/>
        <v>0</v>
      </c>
      <c r="AG152" s="108"/>
      <c r="AH152" s="84">
        <f t="shared" si="81"/>
        <v>0</v>
      </c>
      <c r="AI152" s="108"/>
      <c r="AJ152" s="84">
        <f t="shared" si="82"/>
        <v>0</v>
      </c>
      <c r="AK152" s="108"/>
      <c r="AL152" s="84">
        <f t="shared" si="82"/>
        <v>0</v>
      </c>
      <c r="AM152" s="108"/>
      <c r="AN152" s="84">
        <f t="shared" si="83"/>
        <v>0</v>
      </c>
      <c r="AO152" s="108"/>
      <c r="AP152" s="84">
        <f t="shared" si="84"/>
        <v>0</v>
      </c>
      <c r="AQ152" s="108"/>
      <c r="AR152" s="84">
        <f t="shared" si="85"/>
        <v>0</v>
      </c>
      <c r="AS152" s="108"/>
      <c r="AT152" s="84">
        <f t="shared" si="86"/>
        <v>0</v>
      </c>
      <c r="AU152" s="108"/>
      <c r="AV152" s="84">
        <f t="shared" si="87"/>
        <v>0</v>
      </c>
      <c r="AW152" s="108"/>
      <c r="AX152" s="84">
        <f t="shared" si="88"/>
        <v>0</v>
      </c>
      <c r="AY152" s="108"/>
      <c r="AZ152" s="84">
        <f t="shared" si="89"/>
        <v>0</v>
      </c>
      <c r="BA152" s="108"/>
      <c r="BB152" s="84">
        <f t="shared" si="90"/>
        <v>0</v>
      </c>
      <c r="BC152" s="108"/>
      <c r="BD152" s="84">
        <f t="shared" si="91"/>
        <v>0</v>
      </c>
      <c r="BE152" s="108"/>
      <c r="BF152" s="84">
        <f t="shared" si="92"/>
        <v>0</v>
      </c>
      <c r="BG152" s="108"/>
      <c r="BH152" s="84">
        <f t="shared" si="93"/>
        <v>0</v>
      </c>
      <c r="BI152" s="108"/>
      <c r="BJ152" s="84">
        <f t="shared" si="93"/>
        <v>0</v>
      </c>
    </row>
    <row r="153" spans="1:62" s="106" customFormat="1" ht="12" x14ac:dyDescent="0.2">
      <c r="A153" s="242" t="s">
        <v>588</v>
      </c>
      <c r="B153" s="285" t="s">
        <v>589</v>
      </c>
      <c r="C153" s="86">
        <v>2000</v>
      </c>
      <c r="D153" s="7" t="s">
        <v>858</v>
      </c>
      <c r="E153" s="247">
        <v>0.19</v>
      </c>
      <c r="F153" s="87">
        <f t="shared" si="66"/>
        <v>380</v>
      </c>
      <c r="G153" s="88">
        <f t="shared" si="67"/>
        <v>0</v>
      </c>
      <c r="H153" s="88">
        <f t="shared" si="68"/>
        <v>0</v>
      </c>
      <c r="I153" s="105"/>
      <c r="J153" s="89">
        <f t="shared" si="69"/>
        <v>2000</v>
      </c>
      <c r="K153" s="90">
        <f t="shared" si="70"/>
        <v>380</v>
      </c>
      <c r="L153" s="91">
        <f t="shared" si="71"/>
        <v>0</v>
      </c>
      <c r="M153" s="91">
        <f t="shared" si="94"/>
        <v>0</v>
      </c>
      <c r="O153" s="109"/>
      <c r="P153" s="93">
        <f t="shared" si="72"/>
        <v>0</v>
      </c>
      <c r="Q153" s="109"/>
      <c r="R153" s="93">
        <f t="shared" si="73"/>
        <v>0</v>
      </c>
      <c r="S153" s="109"/>
      <c r="T153" s="93">
        <f t="shared" si="74"/>
        <v>0</v>
      </c>
      <c r="U153" s="109"/>
      <c r="V153" s="93">
        <f t="shared" si="75"/>
        <v>0</v>
      </c>
      <c r="W153" s="109"/>
      <c r="X153" s="93">
        <f t="shared" si="76"/>
        <v>0</v>
      </c>
      <c r="Y153" s="109"/>
      <c r="Z153" s="93">
        <f t="shared" si="77"/>
        <v>0</v>
      </c>
      <c r="AA153" s="109"/>
      <c r="AB153" s="93">
        <f t="shared" si="78"/>
        <v>0</v>
      </c>
      <c r="AC153" s="109"/>
      <c r="AD153" s="93">
        <f t="shared" si="79"/>
        <v>0</v>
      </c>
      <c r="AE153" s="109"/>
      <c r="AF153" s="93">
        <f t="shared" si="80"/>
        <v>0</v>
      </c>
      <c r="AG153" s="109"/>
      <c r="AH153" s="93">
        <f t="shared" si="81"/>
        <v>0</v>
      </c>
      <c r="AI153" s="109"/>
      <c r="AJ153" s="93">
        <f t="shared" si="82"/>
        <v>0</v>
      </c>
      <c r="AK153" s="109"/>
      <c r="AL153" s="93">
        <f t="shared" si="82"/>
        <v>0</v>
      </c>
      <c r="AM153" s="109"/>
      <c r="AN153" s="93">
        <f t="shared" si="83"/>
        <v>0</v>
      </c>
      <c r="AO153" s="109"/>
      <c r="AP153" s="93">
        <f t="shared" si="84"/>
        <v>0</v>
      </c>
      <c r="AQ153" s="109"/>
      <c r="AR153" s="93">
        <f t="shared" si="85"/>
        <v>0</v>
      </c>
      <c r="AS153" s="109"/>
      <c r="AT153" s="93">
        <f t="shared" si="86"/>
        <v>0</v>
      </c>
      <c r="AU153" s="109"/>
      <c r="AV153" s="93">
        <f t="shared" si="87"/>
        <v>0</v>
      </c>
      <c r="AW153" s="109"/>
      <c r="AX153" s="93">
        <f t="shared" si="88"/>
        <v>0</v>
      </c>
      <c r="AY153" s="109"/>
      <c r="AZ153" s="93">
        <f t="shared" si="89"/>
        <v>0</v>
      </c>
      <c r="BA153" s="109"/>
      <c r="BB153" s="93">
        <f t="shared" si="90"/>
        <v>0</v>
      </c>
      <c r="BC153" s="109"/>
      <c r="BD153" s="93">
        <f t="shared" si="91"/>
        <v>0</v>
      </c>
      <c r="BE153" s="109"/>
      <c r="BF153" s="93">
        <f t="shared" si="92"/>
        <v>0</v>
      </c>
      <c r="BG153" s="109"/>
      <c r="BH153" s="93">
        <f t="shared" si="93"/>
        <v>0</v>
      </c>
      <c r="BI153" s="109"/>
      <c r="BJ153" s="93">
        <f t="shared" si="93"/>
        <v>0</v>
      </c>
    </row>
    <row r="154" spans="1:62" s="106" customFormat="1" ht="12" x14ac:dyDescent="0.2">
      <c r="A154" s="241" t="s">
        <v>590</v>
      </c>
      <c r="B154" s="284" t="s">
        <v>591</v>
      </c>
      <c r="C154" s="77">
        <v>1500</v>
      </c>
      <c r="D154" s="6" t="s">
        <v>865</v>
      </c>
      <c r="E154" s="246">
        <v>1.44</v>
      </c>
      <c r="F154" s="78">
        <f t="shared" si="66"/>
        <v>2160</v>
      </c>
      <c r="G154" s="79">
        <f t="shared" si="67"/>
        <v>0</v>
      </c>
      <c r="H154" s="79">
        <f t="shared" si="68"/>
        <v>0</v>
      </c>
      <c r="I154" s="105"/>
      <c r="J154" s="80">
        <f t="shared" si="69"/>
        <v>1500</v>
      </c>
      <c r="K154" s="81">
        <f t="shared" si="70"/>
        <v>2160</v>
      </c>
      <c r="L154" s="82">
        <f t="shared" si="71"/>
        <v>0</v>
      </c>
      <c r="M154" s="82">
        <f t="shared" si="94"/>
        <v>0</v>
      </c>
      <c r="O154" s="108"/>
      <c r="P154" s="84">
        <f t="shared" si="72"/>
        <v>0</v>
      </c>
      <c r="Q154" s="108"/>
      <c r="R154" s="84">
        <f t="shared" si="73"/>
        <v>0</v>
      </c>
      <c r="S154" s="108"/>
      <c r="T154" s="84">
        <f t="shared" si="74"/>
        <v>0</v>
      </c>
      <c r="U154" s="108"/>
      <c r="V154" s="84">
        <f t="shared" si="75"/>
        <v>0</v>
      </c>
      <c r="W154" s="108"/>
      <c r="X154" s="84">
        <f t="shared" si="76"/>
        <v>0</v>
      </c>
      <c r="Y154" s="108"/>
      <c r="Z154" s="84">
        <f t="shared" si="77"/>
        <v>0</v>
      </c>
      <c r="AA154" s="108"/>
      <c r="AB154" s="84">
        <f t="shared" si="78"/>
        <v>0</v>
      </c>
      <c r="AC154" s="108"/>
      <c r="AD154" s="84">
        <f t="shared" si="79"/>
        <v>0</v>
      </c>
      <c r="AE154" s="108"/>
      <c r="AF154" s="84">
        <f t="shared" si="80"/>
        <v>0</v>
      </c>
      <c r="AG154" s="108"/>
      <c r="AH154" s="84">
        <f t="shared" si="81"/>
        <v>0</v>
      </c>
      <c r="AI154" s="108"/>
      <c r="AJ154" s="84">
        <f t="shared" si="82"/>
        <v>0</v>
      </c>
      <c r="AK154" s="108"/>
      <c r="AL154" s="84">
        <f t="shared" si="82"/>
        <v>0</v>
      </c>
      <c r="AM154" s="108"/>
      <c r="AN154" s="84">
        <f t="shared" si="83"/>
        <v>0</v>
      </c>
      <c r="AO154" s="108"/>
      <c r="AP154" s="84">
        <f t="shared" si="84"/>
        <v>0</v>
      </c>
      <c r="AQ154" s="108"/>
      <c r="AR154" s="84">
        <f t="shared" si="85"/>
        <v>0</v>
      </c>
      <c r="AS154" s="108"/>
      <c r="AT154" s="84">
        <f t="shared" si="86"/>
        <v>0</v>
      </c>
      <c r="AU154" s="108"/>
      <c r="AV154" s="84">
        <f t="shared" si="87"/>
        <v>0</v>
      </c>
      <c r="AW154" s="108"/>
      <c r="AX154" s="84">
        <f t="shared" si="88"/>
        <v>0</v>
      </c>
      <c r="AY154" s="108"/>
      <c r="AZ154" s="84">
        <f t="shared" si="89"/>
        <v>0</v>
      </c>
      <c r="BA154" s="108"/>
      <c r="BB154" s="84">
        <f t="shared" si="90"/>
        <v>0</v>
      </c>
      <c r="BC154" s="108"/>
      <c r="BD154" s="84">
        <f t="shared" si="91"/>
        <v>0</v>
      </c>
      <c r="BE154" s="108"/>
      <c r="BF154" s="84">
        <f t="shared" si="92"/>
        <v>0</v>
      </c>
      <c r="BG154" s="108"/>
      <c r="BH154" s="84">
        <f t="shared" si="93"/>
        <v>0</v>
      </c>
      <c r="BI154" s="108"/>
      <c r="BJ154" s="84">
        <f t="shared" si="93"/>
        <v>0</v>
      </c>
    </row>
    <row r="155" spans="1:62" s="106" customFormat="1" ht="12" x14ac:dyDescent="0.2">
      <c r="A155" s="242" t="s">
        <v>592</v>
      </c>
      <c r="B155" s="285" t="s">
        <v>593</v>
      </c>
      <c r="C155" s="86">
        <v>100</v>
      </c>
      <c r="D155" s="7" t="s">
        <v>865</v>
      </c>
      <c r="E155" s="247">
        <v>2.41</v>
      </c>
      <c r="F155" s="87">
        <f t="shared" si="66"/>
        <v>241</v>
      </c>
      <c r="G155" s="88">
        <f t="shared" si="67"/>
        <v>0</v>
      </c>
      <c r="H155" s="88">
        <f t="shared" si="68"/>
        <v>0</v>
      </c>
      <c r="I155" s="105"/>
      <c r="J155" s="89">
        <f t="shared" si="69"/>
        <v>100</v>
      </c>
      <c r="K155" s="90">
        <f t="shared" si="70"/>
        <v>241</v>
      </c>
      <c r="L155" s="91">
        <f t="shared" si="71"/>
        <v>0</v>
      </c>
      <c r="M155" s="91">
        <f t="shared" si="94"/>
        <v>0</v>
      </c>
      <c r="O155" s="109"/>
      <c r="P155" s="93">
        <f t="shared" si="72"/>
        <v>0</v>
      </c>
      <c r="Q155" s="109"/>
      <c r="R155" s="93">
        <f t="shared" si="73"/>
        <v>0</v>
      </c>
      <c r="S155" s="109"/>
      <c r="T155" s="93">
        <f t="shared" si="74"/>
        <v>0</v>
      </c>
      <c r="U155" s="109"/>
      <c r="V155" s="93">
        <f t="shared" si="75"/>
        <v>0</v>
      </c>
      <c r="W155" s="109"/>
      <c r="X155" s="93">
        <f t="shared" si="76"/>
        <v>0</v>
      </c>
      <c r="Y155" s="109"/>
      <c r="Z155" s="93">
        <f t="shared" si="77"/>
        <v>0</v>
      </c>
      <c r="AA155" s="109"/>
      <c r="AB155" s="93">
        <f t="shared" si="78"/>
        <v>0</v>
      </c>
      <c r="AC155" s="109"/>
      <c r="AD155" s="93">
        <f t="shared" si="79"/>
        <v>0</v>
      </c>
      <c r="AE155" s="109"/>
      <c r="AF155" s="93">
        <f t="shared" si="80"/>
        <v>0</v>
      </c>
      <c r="AG155" s="109"/>
      <c r="AH155" s="93">
        <f t="shared" si="81"/>
        <v>0</v>
      </c>
      <c r="AI155" s="109"/>
      <c r="AJ155" s="93">
        <f t="shared" si="82"/>
        <v>0</v>
      </c>
      <c r="AK155" s="109"/>
      <c r="AL155" s="93">
        <f t="shared" si="82"/>
        <v>0</v>
      </c>
      <c r="AM155" s="109"/>
      <c r="AN155" s="93">
        <f t="shared" si="83"/>
        <v>0</v>
      </c>
      <c r="AO155" s="109"/>
      <c r="AP155" s="93">
        <f t="shared" si="84"/>
        <v>0</v>
      </c>
      <c r="AQ155" s="109"/>
      <c r="AR155" s="93">
        <f t="shared" si="85"/>
        <v>0</v>
      </c>
      <c r="AS155" s="109"/>
      <c r="AT155" s="93">
        <f t="shared" si="86"/>
        <v>0</v>
      </c>
      <c r="AU155" s="109"/>
      <c r="AV155" s="93">
        <f t="shared" si="87"/>
        <v>0</v>
      </c>
      <c r="AW155" s="109"/>
      <c r="AX155" s="93">
        <f t="shared" si="88"/>
        <v>0</v>
      </c>
      <c r="AY155" s="109"/>
      <c r="AZ155" s="93">
        <f t="shared" si="89"/>
        <v>0</v>
      </c>
      <c r="BA155" s="109"/>
      <c r="BB155" s="93">
        <f t="shared" si="90"/>
        <v>0</v>
      </c>
      <c r="BC155" s="109"/>
      <c r="BD155" s="93">
        <f t="shared" si="91"/>
        <v>0</v>
      </c>
      <c r="BE155" s="109"/>
      <c r="BF155" s="93">
        <f t="shared" si="92"/>
        <v>0</v>
      </c>
      <c r="BG155" s="109"/>
      <c r="BH155" s="93">
        <f t="shared" si="93"/>
        <v>0</v>
      </c>
      <c r="BI155" s="109"/>
      <c r="BJ155" s="93">
        <f t="shared" si="93"/>
        <v>0</v>
      </c>
    </row>
    <row r="156" spans="1:62" s="106" customFormat="1" ht="12" x14ac:dyDescent="0.2">
      <c r="A156" s="241" t="s">
        <v>594</v>
      </c>
      <c r="B156" s="284" t="s">
        <v>595</v>
      </c>
      <c r="C156" s="77">
        <v>80</v>
      </c>
      <c r="D156" s="6" t="s">
        <v>858</v>
      </c>
      <c r="E156" s="246">
        <v>0.57999999999999996</v>
      </c>
      <c r="F156" s="78">
        <f t="shared" si="66"/>
        <v>46.4</v>
      </c>
      <c r="G156" s="79">
        <f t="shared" si="67"/>
        <v>0</v>
      </c>
      <c r="H156" s="79">
        <f t="shared" si="68"/>
        <v>0</v>
      </c>
      <c r="I156" s="105"/>
      <c r="J156" s="80">
        <f t="shared" si="69"/>
        <v>80</v>
      </c>
      <c r="K156" s="81">
        <f t="shared" si="70"/>
        <v>46.4</v>
      </c>
      <c r="L156" s="82">
        <f t="shared" si="71"/>
        <v>0</v>
      </c>
      <c r="M156" s="82">
        <f t="shared" si="94"/>
        <v>0</v>
      </c>
      <c r="O156" s="108"/>
      <c r="P156" s="84">
        <f t="shared" si="72"/>
        <v>0</v>
      </c>
      <c r="Q156" s="108"/>
      <c r="R156" s="84">
        <f t="shared" si="73"/>
        <v>0</v>
      </c>
      <c r="S156" s="108"/>
      <c r="T156" s="84">
        <f t="shared" si="74"/>
        <v>0</v>
      </c>
      <c r="U156" s="108"/>
      <c r="V156" s="84">
        <f t="shared" si="75"/>
        <v>0</v>
      </c>
      <c r="W156" s="108"/>
      <c r="X156" s="84">
        <f t="shared" si="76"/>
        <v>0</v>
      </c>
      <c r="Y156" s="108"/>
      <c r="Z156" s="84">
        <f t="shared" si="77"/>
        <v>0</v>
      </c>
      <c r="AA156" s="108"/>
      <c r="AB156" s="84">
        <f t="shared" si="78"/>
        <v>0</v>
      </c>
      <c r="AC156" s="108"/>
      <c r="AD156" s="84">
        <f t="shared" si="79"/>
        <v>0</v>
      </c>
      <c r="AE156" s="108"/>
      <c r="AF156" s="84">
        <f t="shared" si="80"/>
        <v>0</v>
      </c>
      <c r="AG156" s="108"/>
      <c r="AH156" s="84">
        <f t="shared" si="81"/>
        <v>0</v>
      </c>
      <c r="AI156" s="108"/>
      <c r="AJ156" s="84">
        <f t="shared" si="82"/>
        <v>0</v>
      </c>
      <c r="AK156" s="108"/>
      <c r="AL156" s="84">
        <f t="shared" si="82"/>
        <v>0</v>
      </c>
      <c r="AM156" s="108"/>
      <c r="AN156" s="84">
        <f t="shared" si="83"/>
        <v>0</v>
      </c>
      <c r="AO156" s="108"/>
      <c r="AP156" s="84">
        <f t="shared" si="84"/>
        <v>0</v>
      </c>
      <c r="AQ156" s="108"/>
      <c r="AR156" s="84">
        <f t="shared" si="85"/>
        <v>0</v>
      </c>
      <c r="AS156" s="108"/>
      <c r="AT156" s="84">
        <f t="shared" si="86"/>
        <v>0</v>
      </c>
      <c r="AU156" s="108"/>
      <c r="AV156" s="84">
        <f t="shared" si="87"/>
        <v>0</v>
      </c>
      <c r="AW156" s="108"/>
      <c r="AX156" s="84">
        <f t="shared" si="88"/>
        <v>0</v>
      </c>
      <c r="AY156" s="108"/>
      <c r="AZ156" s="84">
        <f t="shared" si="89"/>
        <v>0</v>
      </c>
      <c r="BA156" s="108"/>
      <c r="BB156" s="84">
        <f t="shared" si="90"/>
        <v>0</v>
      </c>
      <c r="BC156" s="108"/>
      <c r="BD156" s="84">
        <f t="shared" si="91"/>
        <v>0</v>
      </c>
      <c r="BE156" s="108"/>
      <c r="BF156" s="84">
        <f t="shared" si="92"/>
        <v>0</v>
      </c>
      <c r="BG156" s="108"/>
      <c r="BH156" s="84">
        <f t="shared" si="93"/>
        <v>0</v>
      </c>
      <c r="BI156" s="108"/>
      <c r="BJ156" s="84">
        <f t="shared" si="93"/>
        <v>0</v>
      </c>
    </row>
    <row r="157" spans="1:62" s="106" customFormat="1" ht="12" x14ac:dyDescent="0.2">
      <c r="A157" s="242" t="s">
        <v>596</v>
      </c>
      <c r="B157" s="285" t="s">
        <v>597</v>
      </c>
      <c r="C157" s="86">
        <v>1400</v>
      </c>
      <c r="D157" s="7" t="s">
        <v>865</v>
      </c>
      <c r="E157" s="247">
        <v>0.1</v>
      </c>
      <c r="F157" s="87">
        <f t="shared" si="66"/>
        <v>140</v>
      </c>
      <c r="G157" s="88">
        <f t="shared" si="67"/>
        <v>0</v>
      </c>
      <c r="H157" s="88">
        <f t="shared" si="68"/>
        <v>0</v>
      </c>
      <c r="I157" s="105"/>
      <c r="J157" s="89">
        <f t="shared" si="69"/>
        <v>1400</v>
      </c>
      <c r="K157" s="90">
        <f t="shared" si="70"/>
        <v>140</v>
      </c>
      <c r="L157" s="91">
        <f t="shared" si="71"/>
        <v>0</v>
      </c>
      <c r="M157" s="91">
        <f t="shared" si="94"/>
        <v>0</v>
      </c>
      <c r="O157" s="109"/>
      <c r="P157" s="93">
        <f t="shared" si="72"/>
        <v>0</v>
      </c>
      <c r="Q157" s="109"/>
      <c r="R157" s="93">
        <f t="shared" si="73"/>
        <v>0</v>
      </c>
      <c r="S157" s="109"/>
      <c r="T157" s="93">
        <f t="shared" si="74"/>
        <v>0</v>
      </c>
      <c r="U157" s="109"/>
      <c r="V157" s="93">
        <f t="shared" si="75"/>
        <v>0</v>
      </c>
      <c r="W157" s="109"/>
      <c r="X157" s="93">
        <f t="shared" si="76"/>
        <v>0</v>
      </c>
      <c r="Y157" s="109"/>
      <c r="Z157" s="93">
        <f t="shared" si="77"/>
        <v>0</v>
      </c>
      <c r="AA157" s="109"/>
      <c r="AB157" s="93">
        <f t="shared" si="78"/>
        <v>0</v>
      </c>
      <c r="AC157" s="109"/>
      <c r="AD157" s="93">
        <f t="shared" si="79"/>
        <v>0</v>
      </c>
      <c r="AE157" s="109"/>
      <c r="AF157" s="93">
        <f t="shared" si="80"/>
        <v>0</v>
      </c>
      <c r="AG157" s="109"/>
      <c r="AH157" s="93">
        <f t="shared" si="81"/>
        <v>0</v>
      </c>
      <c r="AI157" s="109"/>
      <c r="AJ157" s="93">
        <f t="shared" si="82"/>
        <v>0</v>
      </c>
      <c r="AK157" s="109"/>
      <c r="AL157" s="93">
        <f t="shared" si="82"/>
        <v>0</v>
      </c>
      <c r="AM157" s="109"/>
      <c r="AN157" s="93">
        <f t="shared" si="83"/>
        <v>0</v>
      </c>
      <c r="AO157" s="109"/>
      <c r="AP157" s="93">
        <f t="shared" si="84"/>
        <v>0</v>
      </c>
      <c r="AQ157" s="109"/>
      <c r="AR157" s="93">
        <f t="shared" si="85"/>
        <v>0</v>
      </c>
      <c r="AS157" s="109"/>
      <c r="AT157" s="93">
        <f t="shared" si="86"/>
        <v>0</v>
      </c>
      <c r="AU157" s="109"/>
      <c r="AV157" s="93">
        <f t="shared" si="87"/>
        <v>0</v>
      </c>
      <c r="AW157" s="109"/>
      <c r="AX157" s="93">
        <f t="shared" si="88"/>
        <v>0</v>
      </c>
      <c r="AY157" s="109"/>
      <c r="AZ157" s="93">
        <f t="shared" si="89"/>
        <v>0</v>
      </c>
      <c r="BA157" s="109"/>
      <c r="BB157" s="93">
        <f t="shared" si="90"/>
        <v>0</v>
      </c>
      <c r="BC157" s="109"/>
      <c r="BD157" s="93">
        <f t="shared" si="91"/>
        <v>0</v>
      </c>
      <c r="BE157" s="109"/>
      <c r="BF157" s="93">
        <f t="shared" si="92"/>
        <v>0</v>
      </c>
      <c r="BG157" s="109"/>
      <c r="BH157" s="93">
        <f t="shared" si="93"/>
        <v>0</v>
      </c>
      <c r="BI157" s="109"/>
      <c r="BJ157" s="93">
        <f t="shared" si="93"/>
        <v>0</v>
      </c>
    </row>
    <row r="158" spans="1:62" s="112" customFormat="1" ht="12" x14ac:dyDescent="0.25">
      <c r="A158" s="241" t="s">
        <v>598</v>
      </c>
      <c r="B158" s="284" t="s">
        <v>599</v>
      </c>
      <c r="C158" s="77">
        <v>5</v>
      </c>
      <c r="D158" s="6" t="s">
        <v>865</v>
      </c>
      <c r="E158" s="246">
        <v>9.7200000000000006</v>
      </c>
      <c r="F158" s="78">
        <f t="shared" si="66"/>
        <v>48.6</v>
      </c>
      <c r="G158" s="79">
        <f t="shared" si="67"/>
        <v>0</v>
      </c>
      <c r="H158" s="79">
        <f t="shared" si="68"/>
        <v>0</v>
      </c>
      <c r="I158" s="111"/>
      <c r="J158" s="80">
        <f t="shared" si="69"/>
        <v>5</v>
      </c>
      <c r="K158" s="81">
        <f t="shared" si="70"/>
        <v>48.6</v>
      </c>
      <c r="L158" s="82">
        <f t="shared" si="71"/>
        <v>0</v>
      </c>
      <c r="M158" s="82">
        <f t="shared" si="94"/>
        <v>0</v>
      </c>
      <c r="O158" s="113"/>
      <c r="P158" s="84">
        <f t="shared" si="72"/>
        <v>0</v>
      </c>
      <c r="Q158" s="113"/>
      <c r="R158" s="84">
        <f t="shared" si="73"/>
        <v>0</v>
      </c>
      <c r="S158" s="113"/>
      <c r="T158" s="84">
        <f t="shared" si="74"/>
        <v>0</v>
      </c>
      <c r="U158" s="113"/>
      <c r="V158" s="84">
        <f t="shared" si="75"/>
        <v>0</v>
      </c>
      <c r="W158" s="113"/>
      <c r="X158" s="84">
        <f t="shared" si="76"/>
        <v>0</v>
      </c>
      <c r="Y158" s="113"/>
      <c r="Z158" s="84">
        <f t="shared" si="77"/>
        <v>0</v>
      </c>
      <c r="AA158" s="113"/>
      <c r="AB158" s="84">
        <f t="shared" si="78"/>
        <v>0</v>
      </c>
      <c r="AC158" s="113"/>
      <c r="AD158" s="84">
        <f t="shared" si="79"/>
        <v>0</v>
      </c>
      <c r="AE158" s="113"/>
      <c r="AF158" s="84">
        <f t="shared" si="80"/>
        <v>0</v>
      </c>
      <c r="AG158" s="113"/>
      <c r="AH158" s="84">
        <f t="shared" si="81"/>
        <v>0</v>
      </c>
      <c r="AI158" s="113"/>
      <c r="AJ158" s="84">
        <f t="shared" si="82"/>
        <v>0</v>
      </c>
      <c r="AK158" s="113"/>
      <c r="AL158" s="84">
        <f t="shared" si="82"/>
        <v>0</v>
      </c>
      <c r="AM158" s="113"/>
      <c r="AN158" s="84">
        <f t="shared" si="83"/>
        <v>0</v>
      </c>
      <c r="AO158" s="113"/>
      <c r="AP158" s="84">
        <f t="shared" si="84"/>
        <v>0</v>
      </c>
      <c r="AQ158" s="113"/>
      <c r="AR158" s="84">
        <f t="shared" si="85"/>
        <v>0</v>
      </c>
      <c r="AS158" s="113"/>
      <c r="AT158" s="84">
        <f t="shared" si="86"/>
        <v>0</v>
      </c>
      <c r="AU158" s="113"/>
      <c r="AV158" s="84">
        <f t="shared" si="87"/>
        <v>0</v>
      </c>
      <c r="AW158" s="113"/>
      <c r="AX158" s="84">
        <f t="shared" si="88"/>
        <v>0</v>
      </c>
      <c r="AY158" s="113"/>
      <c r="AZ158" s="84">
        <f t="shared" si="89"/>
        <v>0</v>
      </c>
      <c r="BA158" s="113"/>
      <c r="BB158" s="84">
        <f t="shared" si="90"/>
        <v>0</v>
      </c>
      <c r="BC158" s="113"/>
      <c r="BD158" s="84">
        <f t="shared" si="91"/>
        <v>0</v>
      </c>
      <c r="BE158" s="113"/>
      <c r="BF158" s="84">
        <f t="shared" si="92"/>
        <v>0</v>
      </c>
      <c r="BG158" s="113"/>
      <c r="BH158" s="84">
        <f t="shared" si="93"/>
        <v>0</v>
      </c>
      <c r="BI158" s="113"/>
      <c r="BJ158" s="84">
        <f t="shared" si="93"/>
        <v>0</v>
      </c>
    </row>
    <row r="159" spans="1:62" s="112" customFormat="1" ht="12" customHeight="1" x14ac:dyDescent="0.25">
      <c r="A159" s="242" t="s">
        <v>600</v>
      </c>
      <c r="B159" s="285" t="s">
        <v>601</v>
      </c>
      <c r="C159" s="86">
        <v>150</v>
      </c>
      <c r="D159" s="7" t="s">
        <v>865</v>
      </c>
      <c r="E159" s="247">
        <v>38.549999999999997</v>
      </c>
      <c r="F159" s="87">
        <f t="shared" si="66"/>
        <v>5782.5</v>
      </c>
      <c r="G159" s="88">
        <f t="shared" si="67"/>
        <v>0</v>
      </c>
      <c r="H159" s="88">
        <f t="shared" si="68"/>
        <v>0</v>
      </c>
      <c r="I159" s="111"/>
      <c r="J159" s="89">
        <f t="shared" si="69"/>
        <v>150</v>
      </c>
      <c r="K159" s="90">
        <f t="shared" si="70"/>
        <v>5782.5</v>
      </c>
      <c r="L159" s="91">
        <f t="shared" si="71"/>
        <v>0</v>
      </c>
      <c r="M159" s="91">
        <f t="shared" si="94"/>
        <v>0</v>
      </c>
      <c r="O159" s="114"/>
      <c r="P159" s="93">
        <f t="shared" si="72"/>
        <v>0</v>
      </c>
      <c r="Q159" s="114"/>
      <c r="R159" s="93">
        <f t="shared" si="73"/>
        <v>0</v>
      </c>
      <c r="S159" s="114"/>
      <c r="T159" s="93">
        <f t="shared" si="74"/>
        <v>0</v>
      </c>
      <c r="U159" s="114"/>
      <c r="V159" s="93">
        <f t="shared" si="75"/>
        <v>0</v>
      </c>
      <c r="W159" s="114"/>
      <c r="X159" s="93">
        <f t="shared" si="76"/>
        <v>0</v>
      </c>
      <c r="Y159" s="114"/>
      <c r="Z159" s="93">
        <f t="shared" si="77"/>
        <v>0</v>
      </c>
      <c r="AA159" s="114"/>
      <c r="AB159" s="93">
        <f t="shared" si="78"/>
        <v>0</v>
      </c>
      <c r="AC159" s="114"/>
      <c r="AD159" s="93">
        <f t="shared" si="79"/>
        <v>0</v>
      </c>
      <c r="AE159" s="114"/>
      <c r="AF159" s="93">
        <f t="shared" si="80"/>
        <v>0</v>
      </c>
      <c r="AG159" s="114"/>
      <c r="AH159" s="93">
        <f t="shared" si="81"/>
        <v>0</v>
      </c>
      <c r="AI159" s="114"/>
      <c r="AJ159" s="93">
        <f t="shared" si="82"/>
        <v>0</v>
      </c>
      <c r="AK159" s="114"/>
      <c r="AL159" s="93">
        <f t="shared" si="82"/>
        <v>0</v>
      </c>
      <c r="AM159" s="114"/>
      <c r="AN159" s="93">
        <f t="shared" si="83"/>
        <v>0</v>
      </c>
      <c r="AO159" s="114"/>
      <c r="AP159" s="93">
        <f t="shared" si="84"/>
        <v>0</v>
      </c>
      <c r="AQ159" s="114"/>
      <c r="AR159" s="93">
        <f t="shared" si="85"/>
        <v>0</v>
      </c>
      <c r="AS159" s="114"/>
      <c r="AT159" s="93">
        <f t="shared" si="86"/>
        <v>0</v>
      </c>
      <c r="AU159" s="114"/>
      <c r="AV159" s="93">
        <f t="shared" si="87"/>
        <v>0</v>
      </c>
      <c r="AW159" s="114"/>
      <c r="AX159" s="93">
        <f t="shared" si="88"/>
        <v>0</v>
      </c>
      <c r="AY159" s="114"/>
      <c r="AZ159" s="93">
        <f t="shared" si="89"/>
        <v>0</v>
      </c>
      <c r="BA159" s="114"/>
      <c r="BB159" s="93">
        <f t="shared" si="90"/>
        <v>0</v>
      </c>
      <c r="BC159" s="114"/>
      <c r="BD159" s="93">
        <f t="shared" si="91"/>
        <v>0</v>
      </c>
      <c r="BE159" s="114"/>
      <c r="BF159" s="93">
        <f t="shared" si="92"/>
        <v>0</v>
      </c>
      <c r="BG159" s="114"/>
      <c r="BH159" s="93">
        <f t="shared" si="93"/>
        <v>0</v>
      </c>
      <c r="BI159" s="114"/>
      <c r="BJ159" s="93">
        <f t="shared" si="93"/>
        <v>0</v>
      </c>
    </row>
    <row r="160" spans="1:62" s="112" customFormat="1" ht="12" x14ac:dyDescent="0.25">
      <c r="A160" s="241" t="s">
        <v>602</v>
      </c>
      <c r="B160" s="284" t="s">
        <v>603</v>
      </c>
      <c r="C160" s="77">
        <v>1200</v>
      </c>
      <c r="D160" s="6" t="s">
        <v>865</v>
      </c>
      <c r="E160" s="246">
        <v>0.96</v>
      </c>
      <c r="F160" s="78">
        <f t="shared" si="66"/>
        <v>1152</v>
      </c>
      <c r="G160" s="79">
        <f t="shared" si="67"/>
        <v>0</v>
      </c>
      <c r="H160" s="79">
        <f t="shared" si="68"/>
        <v>0</v>
      </c>
      <c r="I160" s="111"/>
      <c r="J160" s="80">
        <f t="shared" si="69"/>
        <v>1200</v>
      </c>
      <c r="K160" s="81">
        <f t="shared" si="70"/>
        <v>1152</v>
      </c>
      <c r="L160" s="82">
        <f t="shared" si="71"/>
        <v>0</v>
      </c>
      <c r="M160" s="82">
        <f t="shared" si="94"/>
        <v>0</v>
      </c>
      <c r="O160" s="113"/>
      <c r="P160" s="84">
        <f t="shared" si="72"/>
        <v>0</v>
      </c>
      <c r="Q160" s="113"/>
      <c r="R160" s="84">
        <f t="shared" si="73"/>
        <v>0</v>
      </c>
      <c r="S160" s="113"/>
      <c r="T160" s="84">
        <f t="shared" si="74"/>
        <v>0</v>
      </c>
      <c r="U160" s="113"/>
      <c r="V160" s="84">
        <f t="shared" si="75"/>
        <v>0</v>
      </c>
      <c r="W160" s="113"/>
      <c r="X160" s="84">
        <f t="shared" si="76"/>
        <v>0</v>
      </c>
      <c r="Y160" s="113"/>
      <c r="Z160" s="84">
        <f t="shared" si="77"/>
        <v>0</v>
      </c>
      <c r="AA160" s="113"/>
      <c r="AB160" s="84">
        <f t="shared" si="78"/>
        <v>0</v>
      </c>
      <c r="AC160" s="113"/>
      <c r="AD160" s="84">
        <f t="shared" si="79"/>
        <v>0</v>
      </c>
      <c r="AE160" s="113"/>
      <c r="AF160" s="84">
        <f t="shared" si="80"/>
        <v>0</v>
      </c>
      <c r="AG160" s="113"/>
      <c r="AH160" s="84">
        <f t="shared" si="81"/>
        <v>0</v>
      </c>
      <c r="AI160" s="113"/>
      <c r="AJ160" s="84">
        <f t="shared" si="82"/>
        <v>0</v>
      </c>
      <c r="AK160" s="113"/>
      <c r="AL160" s="84">
        <f t="shared" si="82"/>
        <v>0</v>
      </c>
      <c r="AM160" s="113"/>
      <c r="AN160" s="84">
        <f t="shared" si="83"/>
        <v>0</v>
      </c>
      <c r="AO160" s="113"/>
      <c r="AP160" s="84">
        <f t="shared" si="84"/>
        <v>0</v>
      </c>
      <c r="AQ160" s="113"/>
      <c r="AR160" s="84">
        <f t="shared" si="85"/>
        <v>0</v>
      </c>
      <c r="AS160" s="113"/>
      <c r="AT160" s="84">
        <f t="shared" si="86"/>
        <v>0</v>
      </c>
      <c r="AU160" s="113"/>
      <c r="AV160" s="84">
        <f t="shared" si="87"/>
        <v>0</v>
      </c>
      <c r="AW160" s="113"/>
      <c r="AX160" s="84">
        <f t="shared" si="88"/>
        <v>0</v>
      </c>
      <c r="AY160" s="113"/>
      <c r="AZ160" s="84">
        <f t="shared" si="89"/>
        <v>0</v>
      </c>
      <c r="BA160" s="113"/>
      <c r="BB160" s="84">
        <f t="shared" si="90"/>
        <v>0</v>
      </c>
      <c r="BC160" s="113"/>
      <c r="BD160" s="84">
        <f t="shared" si="91"/>
        <v>0</v>
      </c>
      <c r="BE160" s="113"/>
      <c r="BF160" s="84">
        <f t="shared" si="92"/>
        <v>0</v>
      </c>
      <c r="BG160" s="113"/>
      <c r="BH160" s="84">
        <f t="shared" si="93"/>
        <v>0</v>
      </c>
      <c r="BI160" s="113"/>
      <c r="BJ160" s="84">
        <f t="shared" si="93"/>
        <v>0</v>
      </c>
    </row>
    <row r="161" spans="1:62" s="112" customFormat="1" ht="12" x14ac:dyDescent="0.25">
      <c r="A161" s="240"/>
      <c r="B161" s="304"/>
      <c r="C161" s="103"/>
      <c r="D161" s="5"/>
      <c r="E161" s="248"/>
      <c r="F161" s="68"/>
      <c r="G161" s="69"/>
      <c r="H161" s="69"/>
      <c r="I161" s="111"/>
      <c r="J161" s="95"/>
      <c r="K161" s="96"/>
      <c r="L161" s="97"/>
      <c r="M161" s="97"/>
      <c r="O161" s="115"/>
      <c r="P161" s="99"/>
      <c r="Q161" s="115"/>
      <c r="R161" s="99"/>
      <c r="S161" s="115"/>
      <c r="T161" s="99"/>
      <c r="U161" s="115"/>
      <c r="V161" s="99"/>
      <c r="W161" s="115"/>
      <c r="X161" s="99"/>
      <c r="Y161" s="115"/>
      <c r="Z161" s="99"/>
      <c r="AA161" s="115"/>
      <c r="AB161" s="99"/>
      <c r="AC161" s="115"/>
      <c r="AD161" s="99"/>
      <c r="AE161" s="115"/>
      <c r="AF161" s="99"/>
      <c r="AG161" s="115"/>
      <c r="AH161" s="99"/>
      <c r="AI161" s="115"/>
      <c r="AJ161" s="99"/>
      <c r="AK161" s="115"/>
      <c r="AL161" s="99"/>
      <c r="AM161" s="115"/>
      <c r="AN161" s="99"/>
      <c r="AO161" s="115"/>
      <c r="AP161" s="99"/>
      <c r="AQ161" s="115"/>
      <c r="AR161" s="99"/>
      <c r="AS161" s="115"/>
      <c r="AT161" s="99"/>
      <c r="AU161" s="115"/>
      <c r="AV161" s="99"/>
      <c r="AW161" s="115"/>
      <c r="AX161" s="99"/>
      <c r="AY161" s="115"/>
      <c r="AZ161" s="99"/>
      <c r="BA161" s="115"/>
      <c r="BB161" s="99"/>
      <c r="BC161" s="115"/>
      <c r="BD161" s="99"/>
      <c r="BE161" s="115"/>
      <c r="BF161" s="99"/>
      <c r="BG161" s="115"/>
      <c r="BH161" s="99"/>
      <c r="BI161" s="115"/>
      <c r="BJ161" s="99"/>
    </row>
    <row r="162" spans="1:62" s="112" customFormat="1" ht="17.25" customHeight="1" x14ac:dyDescent="0.25">
      <c r="A162" s="241" t="s">
        <v>604</v>
      </c>
      <c r="B162" s="284" t="s">
        <v>1185</v>
      </c>
      <c r="C162" s="77">
        <v>500</v>
      </c>
      <c r="D162" s="6" t="s">
        <v>867</v>
      </c>
      <c r="E162" s="246">
        <v>77.09</v>
      </c>
      <c r="F162" s="78">
        <f t="shared" si="66"/>
        <v>38545</v>
      </c>
      <c r="G162" s="79">
        <f t="shared" si="67"/>
        <v>0</v>
      </c>
      <c r="H162" s="79">
        <f t="shared" si="68"/>
        <v>0</v>
      </c>
      <c r="I162" s="111"/>
      <c r="J162" s="80">
        <f>C162-(O162+Q162+S162+U162+W162+Y162+AA162+AC162+AE162+AG162+AI162+AK162+AM162+AO162+AQ162+AS162+AU162+AW162+AY162+BA162+BC162+BE162+BG162+BI162)</f>
        <v>500</v>
      </c>
      <c r="K162" s="81">
        <f t="shared" si="70"/>
        <v>38545</v>
      </c>
      <c r="L162" s="82">
        <f t="shared" si="71"/>
        <v>0</v>
      </c>
      <c r="M162" s="82">
        <f t="shared" si="94"/>
        <v>0</v>
      </c>
      <c r="O162" s="113"/>
      <c r="P162" s="84">
        <f>O162*E162</f>
        <v>0</v>
      </c>
      <c r="Q162" s="113"/>
      <c r="R162" s="84">
        <f t="shared" si="73"/>
        <v>0</v>
      </c>
      <c r="S162" s="113"/>
      <c r="T162" s="84">
        <f t="shared" si="74"/>
        <v>0</v>
      </c>
      <c r="U162" s="113"/>
      <c r="V162" s="84">
        <f t="shared" si="75"/>
        <v>0</v>
      </c>
      <c r="W162" s="113"/>
      <c r="X162" s="84">
        <f t="shared" si="76"/>
        <v>0</v>
      </c>
      <c r="Y162" s="113"/>
      <c r="Z162" s="84">
        <f t="shared" si="77"/>
        <v>0</v>
      </c>
      <c r="AA162" s="113"/>
      <c r="AB162" s="84">
        <f t="shared" si="78"/>
        <v>0</v>
      </c>
      <c r="AC162" s="113"/>
      <c r="AD162" s="84">
        <f t="shared" si="79"/>
        <v>0</v>
      </c>
      <c r="AE162" s="113"/>
      <c r="AF162" s="84">
        <f t="shared" si="80"/>
        <v>0</v>
      </c>
      <c r="AG162" s="113"/>
      <c r="AH162" s="84">
        <f t="shared" si="81"/>
        <v>0</v>
      </c>
      <c r="AI162" s="113"/>
      <c r="AJ162" s="84">
        <f t="shared" si="82"/>
        <v>0</v>
      </c>
      <c r="AK162" s="113"/>
      <c r="AL162" s="84">
        <f t="shared" si="82"/>
        <v>0</v>
      </c>
      <c r="AM162" s="113"/>
      <c r="AN162" s="84">
        <f>AM162*AC162</f>
        <v>0</v>
      </c>
      <c r="AO162" s="113"/>
      <c r="AP162" s="84">
        <f t="shared" si="84"/>
        <v>0</v>
      </c>
      <c r="AQ162" s="113"/>
      <c r="AR162" s="84">
        <f t="shared" si="85"/>
        <v>0</v>
      </c>
      <c r="AS162" s="113"/>
      <c r="AT162" s="84">
        <f t="shared" si="86"/>
        <v>0</v>
      </c>
      <c r="AU162" s="113"/>
      <c r="AV162" s="84">
        <f t="shared" si="87"/>
        <v>0</v>
      </c>
      <c r="AW162" s="113"/>
      <c r="AX162" s="84">
        <f t="shared" si="88"/>
        <v>0</v>
      </c>
      <c r="AY162" s="113"/>
      <c r="AZ162" s="84">
        <f t="shared" si="89"/>
        <v>0</v>
      </c>
      <c r="BA162" s="113"/>
      <c r="BB162" s="84">
        <f t="shared" si="90"/>
        <v>0</v>
      </c>
      <c r="BC162" s="113"/>
      <c r="BD162" s="84">
        <f t="shared" si="91"/>
        <v>0</v>
      </c>
      <c r="BE162" s="113"/>
      <c r="BF162" s="84">
        <f t="shared" si="92"/>
        <v>0</v>
      </c>
      <c r="BG162" s="113"/>
      <c r="BH162" s="84">
        <f t="shared" si="93"/>
        <v>0</v>
      </c>
      <c r="BI162" s="113"/>
      <c r="BJ162" s="84">
        <f t="shared" si="93"/>
        <v>0</v>
      </c>
    </row>
    <row r="163" spans="1:62" s="112" customFormat="1" ht="12" x14ac:dyDescent="0.25">
      <c r="A163" s="242" t="s">
        <v>605</v>
      </c>
      <c r="B163" s="285" t="s">
        <v>1186</v>
      </c>
      <c r="C163" s="86">
        <v>200</v>
      </c>
      <c r="D163" s="7" t="s">
        <v>867</v>
      </c>
      <c r="E163" s="247">
        <v>77.09</v>
      </c>
      <c r="F163" s="87">
        <f t="shared" si="66"/>
        <v>15418</v>
      </c>
      <c r="G163" s="88">
        <f t="shared" si="67"/>
        <v>0</v>
      </c>
      <c r="H163" s="88">
        <f t="shared" si="68"/>
        <v>0</v>
      </c>
      <c r="I163" s="111"/>
      <c r="J163" s="89">
        <f>C163-(O163+Q163+S163+U163+W163+Y163+AA163+AC163+AE163+AG163+AI163+AK163+AM163+AO163+AQ163+AS163+AU163+AW163+AY163+BA163+BC163+BE163+BG163+BI163)</f>
        <v>200</v>
      </c>
      <c r="K163" s="90">
        <f t="shared" si="70"/>
        <v>15418</v>
      </c>
      <c r="L163" s="91">
        <f t="shared" si="71"/>
        <v>0</v>
      </c>
      <c r="M163" s="91">
        <f t="shared" si="94"/>
        <v>0</v>
      </c>
      <c r="O163" s="114"/>
      <c r="P163" s="93">
        <f>O163*E163</f>
        <v>0</v>
      </c>
      <c r="Q163" s="114"/>
      <c r="R163" s="93">
        <f t="shared" si="73"/>
        <v>0</v>
      </c>
      <c r="S163" s="114"/>
      <c r="T163" s="93">
        <f t="shared" si="74"/>
        <v>0</v>
      </c>
      <c r="U163" s="114"/>
      <c r="V163" s="93">
        <f t="shared" si="75"/>
        <v>0</v>
      </c>
      <c r="W163" s="114"/>
      <c r="X163" s="93">
        <f t="shared" si="76"/>
        <v>0</v>
      </c>
      <c r="Y163" s="114"/>
      <c r="Z163" s="93">
        <f t="shared" si="77"/>
        <v>0</v>
      </c>
      <c r="AA163" s="114"/>
      <c r="AB163" s="93">
        <f t="shared" si="78"/>
        <v>0</v>
      </c>
      <c r="AC163" s="114"/>
      <c r="AD163" s="93">
        <f t="shared" si="79"/>
        <v>0</v>
      </c>
      <c r="AE163" s="114"/>
      <c r="AF163" s="93">
        <f t="shared" si="80"/>
        <v>0</v>
      </c>
      <c r="AG163" s="114"/>
      <c r="AH163" s="93">
        <f t="shared" si="81"/>
        <v>0</v>
      </c>
      <c r="AI163" s="114"/>
      <c r="AJ163" s="93">
        <f t="shared" si="82"/>
        <v>0</v>
      </c>
      <c r="AK163" s="114"/>
      <c r="AL163" s="93">
        <f t="shared" si="82"/>
        <v>0</v>
      </c>
      <c r="AM163" s="114"/>
      <c r="AN163" s="93">
        <f>AM163*AC163</f>
        <v>0</v>
      </c>
      <c r="AO163" s="114"/>
      <c r="AP163" s="93">
        <f t="shared" si="84"/>
        <v>0</v>
      </c>
      <c r="AQ163" s="114"/>
      <c r="AR163" s="93">
        <f t="shared" si="85"/>
        <v>0</v>
      </c>
      <c r="AS163" s="114"/>
      <c r="AT163" s="93">
        <f t="shared" si="86"/>
        <v>0</v>
      </c>
      <c r="AU163" s="114"/>
      <c r="AV163" s="93">
        <f t="shared" si="87"/>
        <v>0</v>
      </c>
      <c r="AW163" s="114"/>
      <c r="AX163" s="93">
        <f t="shared" si="88"/>
        <v>0</v>
      </c>
      <c r="AY163" s="114"/>
      <c r="AZ163" s="93">
        <f t="shared" si="89"/>
        <v>0</v>
      </c>
      <c r="BA163" s="114"/>
      <c r="BB163" s="93">
        <f t="shared" si="90"/>
        <v>0</v>
      </c>
      <c r="BC163" s="114"/>
      <c r="BD163" s="93">
        <f t="shared" si="91"/>
        <v>0</v>
      </c>
      <c r="BE163" s="114"/>
      <c r="BF163" s="93">
        <f t="shared" si="92"/>
        <v>0</v>
      </c>
      <c r="BG163" s="114"/>
      <c r="BH163" s="93">
        <f t="shared" si="93"/>
        <v>0</v>
      </c>
      <c r="BI163" s="114"/>
      <c r="BJ163" s="93">
        <f t="shared" si="93"/>
        <v>0</v>
      </c>
    </row>
    <row r="164" spans="1:62" s="112" customFormat="1" ht="15.75" customHeight="1" x14ac:dyDescent="0.25">
      <c r="A164" s="241" t="s">
        <v>606</v>
      </c>
      <c r="B164" s="284" t="s">
        <v>1187</v>
      </c>
      <c r="C164" s="77">
        <v>10</v>
      </c>
      <c r="D164" s="6" t="s">
        <v>867</v>
      </c>
      <c r="E164" s="246">
        <v>154.09</v>
      </c>
      <c r="F164" s="78">
        <f t="shared" si="66"/>
        <v>1540.9</v>
      </c>
      <c r="G164" s="79">
        <f t="shared" si="67"/>
        <v>0</v>
      </c>
      <c r="H164" s="79">
        <f t="shared" si="68"/>
        <v>0</v>
      </c>
      <c r="I164" s="111"/>
      <c r="J164" s="80">
        <f>C164-(O164+Q164+S164+U164+W164+Y164+AA164+AC164+AE164+AG164+AI164+AK164+AM164+AO164+AQ164+AS164+AU164+AW164+AY164+BA164+BC164+BE164+BG164+BI164)</f>
        <v>10</v>
      </c>
      <c r="K164" s="81">
        <f t="shared" si="70"/>
        <v>1540.9</v>
      </c>
      <c r="L164" s="82">
        <f t="shared" si="71"/>
        <v>0</v>
      </c>
      <c r="M164" s="82">
        <f t="shared" si="94"/>
        <v>0</v>
      </c>
      <c r="O164" s="113"/>
      <c r="P164" s="84">
        <f>O164*E164</f>
        <v>0</v>
      </c>
      <c r="Q164" s="113"/>
      <c r="R164" s="84">
        <f t="shared" si="73"/>
        <v>0</v>
      </c>
      <c r="S164" s="113"/>
      <c r="T164" s="84">
        <f t="shared" si="74"/>
        <v>0</v>
      </c>
      <c r="U164" s="113"/>
      <c r="V164" s="84">
        <f t="shared" si="75"/>
        <v>0</v>
      </c>
      <c r="W164" s="113"/>
      <c r="X164" s="84">
        <f t="shared" si="76"/>
        <v>0</v>
      </c>
      <c r="Y164" s="113"/>
      <c r="Z164" s="84">
        <f t="shared" si="77"/>
        <v>0</v>
      </c>
      <c r="AA164" s="113"/>
      <c r="AB164" s="84">
        <f t="shared" si="78"/>
        <v>0</v>
      </c>
      <c r="AC164" s="113"/>
      <c r="AD164" s="84">
        <f t="shared" si="79"/>
        <v>0</v>
      </c>
      <c r="AE164" s="113"/>
      <c r="AF164" s="84">
        <f t="shared" si="80"/>
        <v>0</v>
      </c>
      <c r="AG164" s="113"/>
      <c r="AH164" s="84">
        <f t="shared" si="81"/>
        <v>0</v>
      </c>
      <c r="AI164" s="113"/>
      <c r="AJ164" s="84">
        <f t="shared" si="82"/>
        <v>0</v>
      </c>
      <c r="AK164" s="113"/>
      <c r="AL164" s="84">
        <f t="shared" si="82"/>
        <v>0</v>
      </c>
      <c r="AM164" s="113"/>
      <c r="AN164" s="84">
        <f>AM164*AC164</f>
        <v>0</v>
      </c>
      <c r="AO164" s="113"/>
      <c r="AP164" s="84">
        <f t="shared" si="84"/>
        <v>0</v>
      </c>
      <c r="AQ164" s="113"/>
      <c r="AR164" s="84">
        <f t="shared" si="85"/>
        <v>0</v>
      </c>
      <c r="AS164" s="113"/>
      <c r="AT164" s="84">
        <f t="shared" si="86"/>
        <v>0</v>
      </c>
      <c r="AU164" s="113"/>
      <c r="AV164" s="84">
        <f t="shared" si="87"/>
        <v>0</v>
      </c>
      <c r="AW164" s="113"/>
      <c r="AX164" s="84">
        <f t="shared" si="88"/>
        <v>0</v>
      </c>
      <c r="AY164" s="113"/>
      <c r="AZ164" s="84">
        <f t="shared" si="89"/>
        <v>0</v>
      </c>
      <c r="BA164" s="113"/>
      <c r="BB164" s="84">
        <f t="shared" si="90"/>
        <v>0</v>
      </c>
      <c r="BC164" s="113"/>
      <c r="BD164" s="84">
        <f t="shared" si="91"/>
        <v>0</v>
      </c>
      <c r="BE164" s="113"/>
      <c r="BF164" s="84">
        <f t="shared" si="92"/>
        <v>0</v>
      </c>
      <c r="BG164" s="113"/>
      <c r="BH164" s="84">
        <f t="shared" si="93"/>
        <v>0</v>
      </c>
      <c r="BI164" s="113"/>
      <c r="BJ164" s="84">
        <f t="shared" si="93"/>
        <v>0</v>
      </c>
    </row>
    <row r="165" spans="1:62" s="112" customFormat="1" ht="12" x14ac:dyDescent="0.25">
      <c r="A165" s="240"/>
      <c r="B165" s="304"/>
      <c r="C165" s="103"/>
      <c r="D165" s="5"/>
      <c r="E165" s="248"/>
      <c r="F165" s="68"/>
      <c r="G165" s="69"/>
      <c r="H165" s="69"/>
      <c r="I165" s="111"/>
      <c r="J165" s="95"/>
      <c r="K165" s="96"/>
      <c r="L165" s="97"/>
      <c r="M165" s="97"/>
      <c r="O165" s="115"/>
      <c r="P165" s="99"/>
      <c r="Q165" s="115"/>
      <c r="R165" s="99"/>
      <c r="S165" s="115"/>
      <c r="T165" s="99"/>
      <c r="U165" s="115"/>
      <c r="V165" s="99"/>
      <c r="W165" s="115"/>
      <c r="X165" s="99"/>
      <c r="Y165" s="115"/>
      <c r="Z165" s="99"/>
      <c r="AA165" s="115"/>
      <c r="AB165" s="99"/>
      <c r="AC165" s="115"/>
      <c r="AD165" s="99"/>
      <c r="AE165" s="115"/>
      <c r="AF165" s="99"/>
      <c r="AG165" s="115"/>
      <c r="AH165" s="99"/>
      <c r="AI165" s="115"/>
      <c r="AJ165" s="99"/>
      <c r="AK165" s="115"/>
      <c r="AL165" s="99"/>
      <c r="AM165" s="115"/>
      <c r="AN165" s="99"/>
      <c r="AO165" s="115"/>
      <c r="AP165" s="99"/>
      <c r="AQ165" s="115"/>
      <c r="AR165" s="99"/>
      <c r="AS165" s="115"/>
      <c r="AT165" s="99"/>
      <c r="AU165" s="115"/>
      <c r="AV165" s="99"/>
      <c r="AW165" s="115"/>
      <c r="AX165" s="99"/>
      <c r="AY165" s="115"/>
      <c r="AZ165" s="99"/>
      <c r="BA165" s="115"/>
      <c r="BB165" s="99"/>
      <c r="BC165" s="115"/>
      <c r="BD165" s="99"/>
      <c r="BE165" s="115"/>
      <c r="BF165" s="99"/>
      <c r="BG165" s="115"/>
      <c r="BH165" s="99"/>
      <c r="BI165" s="115"/>
      <c r="BJ165" s="99"/>
    </row>
    <row r="166" spans="1:62" s="112" customFormat="1" ht="24" x14ac:dyDescent="0.25">
      <c r="A166" s="241" t="s">
        <v>607</v>
      </c>
      <c r="B166" s="284" t="s">
        <v>608</v>
      </c>
      <c r="C166" s="77">
        <v>15</v>
      </c>
      <c r="D166" s="6" t="s">
        <v>867</v>
      </c>
      <c r="E166" s="246">
        <v>28800.5</v>
      </c>
      <c r="F166" s="78">
        <f t="shared" si="66"/>
        <v>432007.5</v>
      </c>
      <c r="G166" s="79">
        <f t="shared" si="67"/>
        <v>0</v>
      </c>
      <c r="H166" s="79">
        <f t="shared" si="68"/>
        <v>0</v>
      </c>
      <c r="I166" s="111"/>
      <c r="J166" s="80">
        <f>C166-(O166+Q166+S166+U166+W166+Y166+AA166+AC166+AE166+AG166+AI166+AK166+AM166+AO166+AQ166+AS166+AU166+AW166+AY166+BA166+BC166+BE166+BG166+BI166)</f>
        <v>15</v>
      </c>
      <c r="K166" s="81">
        <f t="shared" si="70"/>
        <v>432007.5</v>
      </c>
      <c r="L166" s="82">
        <f>J166*G166</f>
        <v>0</v>
      </c>
      <c r="M166" s="82">
        <f t="shared" si="94"/>
        <v>0</v>
      </c>
      <c r="O166" s="113"/>
      <c r="P166" s="84">
        <f>O166*E166</f>
        <v>0</v>
      </c>
      <c r="Q166" s="113"/>
      <c r="R166" s="84">
        <f t="shared" si="73"/>
        <v>0</v>
      </c>
      <c r="S166" s="113"/>
      <c r="T166" s="84">
        <f t="shared" si="74"/>
        <v>0</v>
      </c>
      <c r="U166" s="113"/>
      <c r="V166" s="84">
        <f t="shared" si="75"/>
        <v>0</v>
      </c>
      <c r="W166" s="113"/>
      <c r="X166" s="84">
        <f t="shared" si="76"/>
        <v>0</v>
      </c>
      <c r="Y166" s="113"/>
      <c r="Z166" s="84">
        <f t="shared" si="77"/>
        <v>0</v>
      </c>
      <c r="AA166" s="113"/>
      <c r="AB166" s="84">
        <f t="shared" si="78"/>
        <v>0</v>
      </c>
      <c r="AC166" s="113"/>
      <c r="AD166" s="84">
        <f t="shared" si="79"/>
        <v>0</v>
      </c>
      <c r="AE166" s="113"/>
      <c r="AF166" s="84">
        <f t="shared" si="80"/>
        <v>0</v>
      </c>
      <c r="AG166" s="113"/>
      <c r="AH166" s="84">
        <f t="shared" si="81"/>
        <v>0</v>
      </c>
      <c r="AI166" s="113"/>
      <c r="AJ166" s="84">
        <f t="shared" si="82"/>
        <v>0</v>
      </c>
      <c r="AK166" s="113"/>
      <c r="AL166" s="84">
        <f t="shared" si="82"/>
        <v>0</v>
      </c>
      <c r="AM166" s="113"/>
      <c r="AN166" s="84">
        <f>AM166*AC166</f>
        <v>0</v>
      </c>
      <c r="AO166" s="113"/>
      <c r="AP166" s="84">
        <f t="shared" si="84"/>
        <v>0</v>
      </c>
      <c r="AQ166" s="113"/>
      <c r="AR166" s="84">
        <f t="shared" si="85"/>
        <v>0</v>
      </c>
      <c r="AS166" s="113"/>
      <c r="AT166" s="84">
        <f t="shared" si="86"/>
        <v>0</v>
      </c>
      <c r="AU166" s="113"/>
      <c r="AV166" s="84">
        <f t="shared" si="87"/>
        <v>0</v>
      </c>
      <c r="AW166" s="113"/>
      <c r="AX166" s="84">
        <f t="shared" si="88"/>
        <v>0</v>
      </c>
      <c r="AY166" s="113"/>
      <c r="AZ166" s="84">
        <f t="shared" si="89"/>
        <v>0</v>
      </c>
      <c r="BA166" s="113"/>
      <c r="BB166" s="84">
        <f t="shared" si="90"/>
        <v>0</v>
      </c>
      <c r="BC166" s="113"/>
      <c r="BD166" s="84">
        <f t="shared" si="91"/>
        <v>0</v>
      </c>
      <c r="BE166" s="113"/>
      <c r="BF166" s="84">
        <f t="shared" si="92"/>
        <v>0</v>
      </c>
      <c r="BG166" s="113"/>
      <c r="BH166" s="84">
        <f t="shared" si="93"/>
        <v>0</v>
      </c>
      <c r="BI166" s="113"/>
      <c r="BJ166" s="84">
        <f t="shared" si="93"/>
        <v>0</v>
      </c>
    </row>
    <row r="167" spans="1:62" s="112" customFormat="1" ht="24" x14ac:dyDescent="0.25">
      <c r="A167" s="242" t="s">
        <v>609</v>
      </c>
      <c r="B167" s="285" t="s">
        <v>610</v>
      </c>
      <c r="C167" s="86">
        <v>33</v>
      </c>
      <c r="D167" s="7" t="s">
        <v>867</v>
      </c>
      <c r="E167" s="247">
        <v>475.78</v>
      </c>
      <c r="F167" s="87">
        <f t="shared" si="66"/>
        <v>15700.74</v>
      </c>
      <c r="G167" s="88">
        <f t="shared" si="67"/>
        <v>0</v>
      </c>
      <c r="H167" s="88">
        <f t="shared" si="68"/>
        <v>0</v>
      </c>
      <c r="I167" s="111"/>
      <c r="J167" s="89">
        <f>C167-(O167+Q167+S167+U167+W167+Y167+AA167+AC167+AE167+AG167+AI167+AK167+AM167+AO167+AQ167+AS167+AU167+AW167+AY167+BA167+BC167+BE167+BG167+BI167)</f>
        <v>33</v>
      </c>
      <c r="K167" s="90">
        <f t="shared" si="70"/>
        <v>15700.74</v>
      </c>
      <c r="L167" s="91">
        <f t="shared" si="71"/>
        <v>0</v>
      </c>
      <c r="M167" s="91">
        <f t="shared" si="94"/>
        <v>0</v>
      </c>
      <c r="O167" s="114"/>
      <c r="P167" s="93">
        <f>O167*E167</f>
        <v>0</v>
      </c>
      <c r="Q167" s="114"/>
      <c r="R167" s="93">
        <f t="shared" si="73"/>
        <v>0</v>
      </c>
      <c r="S167" s="114"/>
      <c r="T167" s="93">
        <f t="shared" si="74"/>
        <v>0</v>
      </c>
      <c r="U167" s="114"/>
      <c r="V167" s="93">
        <f t="shared" si="75"/>
        <v>0</v>
      </c>
      <c r="W167" s="114"/>
      <c r="X167" s="93">
        <f t="shared" si="76"/>
        <v>0</v>
      </c>
      <c r="Y167" s="114"/>
      <c r="Z167" s="93">
        <f t="shared" si="77"/>
        <v>0</v>
      </c>
      <c r="AA167" s="114"/>
      <c r="AB167" s="93">
        <f t="shared" si="78"/>
        <v>0</v>
      </c>
      <c r="AC167" s="114"/>
      <c r="AD167" s="93">
        <f t="shared" si="79"/>
        <v>0</v>
      </c>
      <c r="AE167" s="114"/>
      <c r="AF167" s="93">
        <f t="shared" si="80"/>
        <v>0</v>
      </c>
      <c r="AG167" s="114"/>
      <c r="AH167" s="93">
        <f t="shared" si="81"/>
        <v>0</v>
      </c>
      <c r="AI167" s="114"/>
      <c r="AJ167" s="93">
        <f t="shared" si="82"/>
        <v>0</v>
      </c>
      <c r="AK167" s="114"/>
      <c r="AL167" s="93">
        <f t="shared" si="82"/>
        <v>0</v>
      </c>
      <c r="AM167" s="114"/>
      <c r="AN167" s="93">
        <f>AM167*AC167</f>
        <v>0</v>
      </c>
      <c r="AO167" s="114"/>
      <c r="AP167" s="93">
        <f t="shared" si="84"/>
        <v>0</v>
      </c>
      <c r="AQ167" s="114"/>
      <c r="AR167" s="93">
        <f t="shared" si="85"/>
        <v>0</v>
      </c>
      <c r="AS167" s="114"/>
      <c r="AT167" s="93">
        <f t="shared" si="86"/>
        <v>0</v>
      </c>
      <c r="AU167" s="114"/>
      <c r="AV167" s="93">
        <f t="shared" si="87"/>
        <v>0</v>
      </c>
      <c r="AW167" s="114"/>
      <c r="AX167" s="93">
        <f t="shared" si="88"/>
        <v>0</v>
      </c>
      <c r="AY167" s="114"/>
      <c r="AZ167" s="93">
        <f t="shared" si="89"/>
        <v>0</v>
      </c>
      <c r="BA167" s="114"/>
      <c r="BB167" s="93">
        <f t="shared" si="90"/>
        <v>0</v>
      </c>
      <c r="BC167" s="114"/>
      <c r="BD167" s="93">
        <f t="shared" si="91"/>
        <v>0</v>
      </c>
      <c r="BE167" s="114"/>
      <c r="BF167" s="93">
        <f t="shared" si="92"/>
        <v>0</v>
      </c>
      <c r="BG167" s="114"/>
      <c r="BH167" s="93">
        <f t="shared" si="93"/>
        <v>0</v>
      </c>
      <c r="BI167" s="114"/>
      <c r="BJ167" s="93">
        <f t="shared" si="93"/>
        <v>0</v>
      </c>
    </row>
    <row r="168" spans="1:62" s="112" customFormat="1" ht="24" x14ac:dyDescent="0.25">
      <c r="A168" s="241" t="s">
        <v>611</v>
      </c>
      <c r="B168" s="284" t="s">
        <v>612</v>
      </c>
      <c r="C168" s="77">
        <v>33</v>
      </c>
      <c r="D168" s="6" t="s">
        <v>867</v>
      </c>
      <c r="E168" s="246">
        <v>278.06</v>
      </c>
      <c r="F168" s="78">
        <f t="shared" si="66"/>
        <v>9175.98</v>
      </c>
      <c r="G168" s="79">
        <f t="shared" si="67"/>
        <v>0</v>
      </c>
      <c r="H168" s="79">
        <f t="shared" si="68"/>
        <v>0</v>
      </c>
      <c r="I168" s="111"/>
      <c r="J168" s="80">
        <f>C168-(O168+Q168+S168+U168+W168+Y168+AA168+AC168+AE168+AG168+AI168+AK168+AM168+AO168+AQ168+AS168+AU168+AW168+AY168+BA168+BC168+BE168+BG168+BI168)</f>
        <v>33</v>
      </c>
      <c r="K168" s="81">
        <f t="shared" si="70"/>
        <v>9175.98</v>
      </c>
      <c r="L168" s="82">
        <f t="shared" si="71"/>
        <v>0</v>
      </c>
      <c r="M168" s="116">
        <f t="shared" si="94"/>
        <v>0</v>
      </c>
      <c r="O168" s="113"/>
      <c r="P168" s="84">
        <f>O168*E168</f>
        <v>0</v>
      </c>
      <c r="Q168" s="113"/>
      <c r="R168" s="84">
        <f t="shared" si="73"/>
        <v>0</v>
      </c>
      <c r="S168" s="113"/>
      <c r="T168" s="84">
        <f t="shared" si="74"/>
        <v>0</v>
      </c>
      <c r="U168" s="113"/>
      <c r="V168" s="84">
        <f t="shared" si="75"/>
        <v>0</v>
      </c>
      <c r="W168" s="113"/>
      <c r="X168" s="84">
        <f t="shared" si="76"/>
        <v>0</v>
      </c>
      <c r="Y168" s="113"/>
      <c r="Z168" s="84">
        <f t="shared" si="77"/>
        <v>0</v>
      </c>
      <c r="AA168" s="113"/>
      <c r="AB168" s="84">
        <f t="shared" si="78"/>
        <v>0</v>
      </c>
      <c r="AC168" s="113"/>
      <c r="AD168" s="84">
        <f t="shared" si="79"/>
        <v>0</v>
      </c>
      <c r="AE168" s="113"/>
      <c r="AF168" s="84">
        <f t="shared" si="80"/>
        <v>0</v>
      </c>
      <c r="AG168" s="113"/>
      <c r="AH168" s="84">
        <f t="shared" si="81"/>
        <v>0</v>
      </c>
      <c r="AI168" s="113"/>
      <c r="AJ168" s="84">
        <f t="shared" si="82"/>
        <v>0</v>
      </c>
      <c r="AK168" s="113"/>
      <c r="AL168" s="84">
        <f t="shared" si="82"/>
        <v>0</v>
      </c>
      <c r="AM168" s="113"/>
      <c r="AN168" s="84">
        <f>AM168*AC168</f>
        <v>0</v>
      </c>
      <c r="AO168" s="113"/>
      <c r="AP168" s="84">
        <f t="shared" si="84"/>
        <v>0</v>
      </c>
      <c r="AQ168" s="113"/>
      <c r="AR168" s="84">
        <f t="shared" si="85"/>
        <v>0</v>
      </c>
      <c r="AS168" s="113"/>
      <c r="AT168" s="84">
        <f t="shared" si="86"/>
        <v>0</v>
      </c>
      <c r="AU168" s="113"/>
      <c r="AV168" s="84">
        <f t="shared" si="87"/>
        <v>0</v>
      </c>
      <c r="AW168" s="113"/>
      <c r="AX168" s="84">
        <f t="shared" si="88"/>
        <v>0</v>
      </c>
      <c r="AY168" s="113"/>
      <c r="AZ168" s="84">
        <f t="shared" si="89"/>
        <v>0</v>
      </c>
      <c r="BA168" s="113"/>
      <c r="BB168" s="84">
        <f t="shared" si="90"/>
        <v>0</v>
      </c>
      <c r="BC168" s="113"/>
      <c r="BD168" s="84">
        <f t="shared" si="91"/>
        <v>0</v>
      </c>
      <c r="BE168" s="113"/>
      <c r="BF168" s="84">
        <f t="shared" si="92"/>
        <v>0</v>
      </c>
      <c r="BG168" s="113"/>
      <c r="BH168" s="84">
        <f t="shared" si="93"/>
        <v>0</v>
      </c>
      <c r="BI168" s="113"/>
      <c r="BJ168" s="84">
        <f t="shared" si="93"/>
        <v>0</v>
      </c>
    </row>
    <row r="169" spans="1:62" s="112" customFormat="1" ht="12" x14ac:dyDescent="0.25">
      <c r="A169" s="268"/>
      <c r="B169" s="289"/>
      <c r="C169" s="117"/>
      <c r="D169" s="118"/>
      <c r="E169" s="258"/>
      <c r="F169" s="119"/>
      <c r="G169" s="120"/>
      <c r="H169" s="121"/>
      <c r="I169" s="111"/>
      <c r="J169" s="122"/>
      <c r="K169" s="123"/>
      <c r="L169" s="124"/>
      <c r="M169" s="125"/>
      <c r="O169" s="126"/>
      <c r="P169" s="127"/>
      <c r="Q169" s="126"/>
      <c r="R169" s="127"/>
      <c r="S169" s="126"/>
      <c r="T169" s="127"/>
      <c r="U169" s="126"/>
      <c r="V169" s="127"/>
      <c r="W169" s="126"/>
      <c r="X169" s="127"/>
      <c r="Y169" s="126"/>
      <c r="Z169" s="127"/>
      <c r="AA169" s="126"/>
      <c r="AB169" s="127"/>
      <c r="AC169" s="126"/>
      <c r="AD169" s="127"/>
      <c r="AE169" s="126"/>
      <c r="AF169" s="127"/>
      <c r="AG169" s="126"/>
      <c r="AH169" s="127"/>
      <c r="AI169" s="126"/>
      <c r="AJ169" s="127"/>
      <c r="AK169" s="126"/>
      <c r="AL169" s="127"/>
      <c r="AM169" s="126"/>
      <c r="AN169" s="127"/>
      <c r="AO169" s="126"/>
      <c r="AP169" s="127"/>
      <c r="AQ169" s="126"/>
      <c r="AR169" s="127"/>
      <c r="AS169" s="126"/>
      <c r="AT169" s="127"/>
      <c r="AU169" s="126"/>
      <c r="AV169" s="127"/>
      <c r="AW169" s="126"/>
      <c r="AX169" s="127"/>
      <c r="AY169" s="126"/>
      <c r="AZ169" s="127"/>
      <c r="BA169" s="126"/>
      <c r="BB169" s="127"/>
      <c r="BC169" s="126"/>
      <c r="BD169" s="127"/>
      <c r="BE169" s="126"/>
      <c r="BF169" s="127"/>
      <c r="BG169" s="126"/>
      <c r="BH169" s="127"/>
      <c r="BI169" s="126"/>
      <c r="BJ169" s="127"/>
    </row>
    <row r="170" spans="1:62" s="137" customFormat="1" ht="15" customHeight="1" x14ac:dyDescent="0.25">
      <c r="A170" s="269"/>
      <c r="B170" s="290" t="s">
        <v>868</v>
      </c>
      <c r="C170" s="128"/>
      <c r="D170" s="129"/>
      <c r="E170" s="259"/>
      <c r="F170" s="130">
        <f>SUM(F9:F168)</f>
        <v>1868863.22</v>
      </c>
      <c r="G170" s="131"/>
      <c r="H170" s="132"/>
      <c r="I170" s="133"/>
      <c r="J170" s="134"/>
      <c r="K170" s="135">
        <f>SUM(K9:K168)</f>
        <v>1868163.22</v>
      </c>
      <c r="L170" s="136">
        <f>SUM(L9:L168)</f>
        <v>0</v>
      </c>
      <c r="M170" s="135">
        <f>SUM(M9:M168)</f>
        <v>0</v>
      </c>
      <c r="O170" s="138"/>
      <c r="P170" s="139">
        <f>SUM(P9:P168)</f>
        <v>700.00000000000011</v>
      </c>
      <c r="Q170" s="138"/>
      <c r="R170" s="139">
        <f>SUM(R9:R168)</f>
        <v>0</v>
      </c>
      <c r="S170" s="138"/>
      <c r="T170" s="139">
        <f>SUM(T9:T168)</f>
        <v>0</v>
      </c>
      <c r="U170" s="138"/>
      <c r="V170" s="139">
        <f>SUM(V9:V168)</f>
        <v>0</v>
      </c>
      <c r="W170" s="138"/>
      <c r="X170" s="139">
        <f>SUM(X9:X168)</f>
        <v>0</v>
      </c>
      <c r="Y170" s="138"/>
      <c r="Z170" s="139">
        <f>SUM(Z9:Z168)</f>
        <v>0</v>
      </c>
      <c r="AA170" s="138"/>
      <c r="AB170" s="139">
        <f>SUM(AB9:AB168)</f>
        <v>0</v>
      </c>
      <c r="AC170" s="138"/>
      <c r="AD170" s="139">
        <f>SUM(AD9:AD168)</f>
        <v>0</v>
      </c>
      <c r="AE170" s="138"/>
      <c r="AF170" s="139">
        <f>SUM(AF9:AF168)</f>
        <v>0</v>
      </c>
      <c r="AG170" s="138"/>
      <c r="AH170" s="139">
        <f>SUM(AH9:AH168)</f>
        <v>0</v>
      </c>
      <c r="AI170" s="138"/>
      <c r="AJ170" s="139">
        <f>SUM(AJ9:AJ168)</f>
        <v>0</v>
      </c>
      <c r="AK170" s="138"/>
      <c r="AL170" s="139">
        <f>SUM(AL9:AL168)</f>
        <v>0</v>
      </c>
      <c r="AM170" s="138"/>
      <c r="AN170" s="139">
        <f>SUM(AN9:AN168)</f>
        <v>0</v>
      </c>
      <c r="AO170" s="138"/>
      <c r="AP170" s="139">
        <f>SUM(AP9:AP168)</f>
        <v>0</v>
      </c>
      <c r="AQ170" s="138"/>
      <c r="AR170" s="139">
        <f>SUM(AR9:AR168)</f>
        <v>0</v>
      </c>
      <c r="AS170" s="138"/>
      <c r="AT170" s="139">
        <f>SUM(AT9:AT168)</f>
        <v>0</v>
      </c>
      <c r="AU170" s="138"/>
      <c r="AV170" s="139">
        <f>SUM(AV9:AV168)</f>
        <v>0</v>
      </c>
      <c r="AW170" s="138"/>
      <c r="AX170" s="139">
        <f>SUM(AX9:AX168)</f>
        <v>0</v>
      </c>
      <c r="AY170" s="138"/>
      <c r="AZ170" s="139">
        <f>SUM(AZ9:AZ168)</f>
        <v>0</v>
      </c>
      <c r="BA170" s="138"/>
      <c r="BB170" s="139">
        <f>SUM(BB9:BB168)</f>
        <v>0</v>
      </c>
      <c r="BC170" s="138"/>
      <c r="BD170" s="139">
        <f>SUM(BD9:BD168)</f>
        <v>0</v>
      </c>
      <c r="BE170" s="138"/>
      <c r="BF170" s="139">
        <f>SUM(BF9:BF168)</f>
        <v>0</v>
      </c>
      <c r="BG170" s="138"/>
      <c r="BH170" s="139">
        <f>SUM(BH9:BH168)</f>
        <v>0</v>
      </c>
      <c r="BI170" s="138"/>
      <c r="BJ170" s="139">
        <f>SUM(BJ9:BJ168)</f>
        <v>0</v>
      </c>
    </row>
    <row r="171" spans="1:62" s="145" customFormat="1" ht="15" customHeight="1" x14ac:dyDescent="0.25">
      <c r="A171" s="270"/>
      <c r="B171" s="291"/>
      <c r="C171" s="140"/>
      <c r="D171" s="141"/>
      <c r="E171" s="260"/>
      <c r="F171" s="142"/>
      <c r="G171" s="142"/>
      <c r="H171" s="142"/>
      <c r="I171" s="143"/>
      <c r="J171" s="144"/>
      <c r="K171" s="144"/>
      <c r="L171" s="144"/>
      <c r="M171" s="144"/>
      <c r="P171" s="143"/>
      <c r="R171" s="143"/>
      <c r="T171" s="143"/>
      <c r="V171" s="143"/>
      <c r="X171" s="143"/>
      <c r="Z171" s="143"/>
      <c r="AB171" s="143"/>
      <c r="AD171" s="143"/>
      <c r="AF171" s="143"/>
      <c r="AH171" s="143"/>
      <c r="AJ171" s="143"/>
      <c r="AL171" s="143"/>
      <c r="AN171" s="143"/>
      <c r="AP171" s="143"/>
      <c r="AR171" s="143"/>
      <c r="AT171" s="143"/>
      <c r="AV171" s="143"/>
      <c r="AX171" s="143"/>
      <c r="AZ171" s="143"/>
      <c r="BB171" s="143"/>
      <c r="BD171" s="143"/>
      <c r="BF171" s="143"/>
      <c r="BH171" s="143"/>
      <c r="BJ171" s="143"/>
    </row>
  </sheetData>
  <mergeCells count="2">
    <mergeCell ref="J4:K5"/>
    <mergeCell ref="L4:M4"/>
  </mergeCells>
  <conditionalFormatting sqref="J9:J168">
    <cfRule type="cellIs" dxfId="1" priority="2" operator="lessThan">
      <formula>0</formula>
    </cfRule>
    <cfRule type="cellIs" priority="3" operator="lessThan">
      <formula>0</formula>
    </cfRule>
  </conditionalFormatting>
  <conditionalFormatting sqref="K9:K168">
    <cfRule type="cellIs" dxfId="0" priority="1" operator="lessThan">
      <formula>0</formula>
    </cfRule>
  </conditionalFormatting>
  <printOptions horizontalCentered="1"/>
  <pageMargins left="0.39370078740157483" right="0.39370078740157483" top="0.78740157480314965" bottom="0.59055118110236227" header="0.51181102362204722" footer="0.51181102362204722"/>
  <pageSetup paperSize="9" fitToHeight="0" orientation="portrait" useFirstPageNumber="1" r:id="rId1"/>
  <headerFooter alignWithMargins="0"/>
  <rowBreaks count="3" manualBreakCount="3">
    <brk id="55" max="16383" man="1"/>
    <brk id="101" max="16383" man="1"/>
    <brk id="145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AD8A1-9462-4A03-9702-0766B1DE214D}">
  <sheetPr codeName="Planilha5"/>
  <dimension ref="A1:D104"/>
  <sheetViews>
    <sheetView topLeftCell="A82" workbookViewId="0">
      <selection activeCell="G96" sqref="G96"/>
    </sheetView>
  </sheetViews>
  <sheetFormatPr defaultRowHeight="15" x14ac:dyDescent="0.25"/>
  <cols>
    <col min="1" max="1" width="9.140625" style="156"/>
    <col min="2" max="2" width="25.42578125" customWidth="1"/>
    <col min="3" max="3" width="71.5703125" customWidth="1"/>
    <col min="4" max="4" width="28.28515625" customWidth="1"/>
  </cols>
  <sheetData>
    <row r="1" spans="1:4" x14ac:dyDescent="0.25">
      <c r="A1" s="160" t="s">
        <v>414</v>
      </c>
      <c r="B1" s="161" t="s">
        <v>613</v>
      </c>
      <c r="C1" s="162" t="s">
        <v>614</v>
      </c>
      <c r="D1" s="162" t="s">
        <v>615</v>
      </c>
    </row>
    <row r="2" spans="1:4" x14ac:dyDescent="0.25">
      <c r="A2" s="154">
        <v>1</v>
      </c>
      <c r="B2" s="157" t="s">
        <v>616</v>
      </c>
      <c r="C2" s="163" t="s">
        <v>617</v>
      </c>
      <c r="D2" s="164"/>
    </row>
    <row r="3" spans="1:4" x14ac:dyDescent="0.25">
      <c r="A3" s="154">
        <v>2</v>
      </c>
      <c r="B3" s="157" t="s">
        <v>618</v>
      </c>
      <c r="C3" s="163" t="s">
        <v>619</v>
      </c>
      <c r="D3" s="165"/>
    </row>
    <row r="4" spans="1:4" x14ac:dyDescent="0.25">
      <c r="A4" s="154">
        <v>3</v>
      </c>
      <c r="B4" s="157" t="s">
        <v>620</v>
      </c>
      <c r="C4" s="163" t="s">
        <v>621</v>
      </c>
      <c r="D4" s="164"/>
    </row>
    <row r="5" spans="1:4" x14ac:dyDescent="0.25">
      <c r="A5" s="154">
        <v>4</v>
      </c>
      <c r="B5" s="157" t="s">
        <v>622</v>
      </c>
      <c r="C5" s="163" t="s">
        <v>623</v>
      </c>
      <c r="D5" s="166" t="s">
        <v>624</v>
      </c>
    </row>
    <row r="6" spans="1:4" x14ac:dyDescent="0.25">
      <c r="A6" s="154">
        <v>5</v>
      </c>
      <c r="B6" s="157" t="s">
        <v>625</v>
      </c>
      <c r="C6" s="163" t="s">
        <v>626</v>
      </c>
      <c r="D6" s="164"/>
    </row>
    <row r="7" spans="1:4" x14ac:dyDescent="0.25">
      <c r="A7" s="154">
        <v>6</v>
      </c>
      <c r="B7" s="157" t="s">
        <v>627</v>
      </c>
      <c r="C7" s="163" t="s">
        <v>628</v>
      </c>
      <c r="D7" s="167" t="s">
        <v>629</v>
      </c>
    </row>
    <row r="8" spans="1:4" x14ac:dyDescent="0.25">
      <c r="A8" s="154">
        <v>7</v>
      </c>
      <c r="B8" s="157" t="s">
        <v>630</v>
      </c>
      <c r="C8" s="163" t="s">
        <v>631</v>
      </c>
      <c r="D8" s="168"/>
    </row>
    <row r="9" spans="1:4" x14ac:dyDescent="0.25">
      <c r="A9" s="154">
        <v>8</v>
      </c>
      <c r="B9" s="157" t="s">
        <v>632</v>
      </c>
      <c r="C9" s="169" t="s">
        <v>633</v>
      </c>
      <c r="D9" s="167" t="s">
        <v>634</v>
      </c>
    </row>
    <row r="10" spans="1:4" x14ac:dyDescent="0.25">
      <c r="A10" s="154">
        <v>9</v>
      </c>
      <c r="B10" s="157" t="s">
        <v>635</v>
      </c>
      <c r="C10" s="163" t="s">
        <v>636</v>
      </c>
      <c r="D10" s="167" t="s">
        <v>637</v>
      </c>
    </row>
    <row r="11" spans="1:4" x14ac:dyDescent="0.25">
      <c r="A11" s="154">
        <v>10</v>
      </c>
      <c r="B11" s="157" t="s">
        <v>638</v>
      </c>
      <c r="C11" s="163" t="s">
        <v>639</v>
      </c>
      <c r="D11" s="165"/>
    </row>
    <row r="12" spans="1:4" x14ac:dyDescent="0.25">
      <c r="A12" s="154">
        <v>11</v>
      </c>
      <c r="B12" s="157" t="s">
        <v>640</v>
      </c>
      <c r="C12" s="163" t="s">
        <v>641</v>
      </c>
      <c r="D12" s="167" t="s">
        <v>642</v>
      </c>
    </row>
    <row r="13" spans="1:4" x14ac:dyDescent="0.25">
      <c r="A13" s="154">
        <v>12</v>
      </c>
      <c r="B13" s="157" t="s">
        <v>899</v>
      </c>
      <c r="C13" s="163" t="s">
        <v>643</v>
      </c>
      <c r="D13" s="167" t="s">
        <v>644</v>
      </c>
    </row>
    <row r="14" spans="1:4" x14ac:dyDescent="0.25">
      <c r="A14" s="154">
        <v>13</v>
      </c>
      <c r="B14" s="157" t="s">
        <v>645</v>
      </c>
      <c r="C14" s="163" t="s">
        <v>646</v>
      </c>
      <c r="D14" s="164"/>
    </row>
    <row r="15" spans="1:4" x14ac:dyDescent="0.25">
      <c r="A15" s="154">
        <v>14</v>
      </c>
      <c r="B15" s="157" t="s">
        <v>647</v>
      </c>
      <c r="C15" s="163" t="s">
        <v>648</v>
      </c>
      <c r="D15" s="167" t="s">
        <v>649</v>
      </c>
    </row>
    <row r="16" spans="1:4" x14ac:dyDescent="0.25">
      <c r="A16" s="154">
        <v>15</v>
      </c>
      <c r="B16" s="157" t="s">
        <v>651</v>
      </c>
      <c r="C16" s="169" t="s">
        <v>650</v>
      </c>
      <c r="D16" s="167" t="s">
        <v>652</v>
      </c>
    </row>
    <row r="17" spans="1:4" x14ac:dyDescent="0.25">
      <c r="A17" s="154">
        <v>16</v>
      </c>
      <c r="B17" s="157" t="s">
        <v>653</v>
      </c>
      <c r="C17" s="163" t="s">
        <v>654</v>
      </c>
      <c r="D17" s="167" t="s">
        <v>637</v>
      </c>
    </row>
    <row r="18" spans="1:4" x14ac:dyDescent="0.25">
      <c r="A18" s="154">
        <v>17</v>
      </c>
      <c r="B18" s="157" t="s">
        <v>655</v>
      </c>
      <c r="C18" s="163" t="s">
        <v>656</v>
      </c>
      <c r="D18" s="164"/>
    </row>
    <row r="19" spans="1:4" x14ac:dyDescent="0.25">
      <c r="A19" s="154">
        <v>18</v>
      </c>
      <c r="B19" s="157" t="s">
        <v>657</v>
      </c>
      <c r="C19" s="163" t="s">
        <v>658</v>
      </c>
      <c r="D19" s="164"/>
    </row>
    <row r="20" spans="1:4" x14ac:dyDescent="0.25">
      <c r="A20" s="154">
        <v>19</v>
      </c>
      <c r="B20" s="157" t="s">
        <v>659</v>
      </c>
      <c r="C20" s="163" t="s">
        <v>660</v>
      </c>
      <c r="D20" s="164"/>
    </row>
    <row r="21" spans="1:4" x14ac:dyDescent="0.25">
      <c r="A21" s="154">
        <v>20</v>
      </c>
      <c r="B21" s="157" t="s">
        <v>661</v>
      </c>
      <c r="C21" s="163" t="s">
        <v>662</v>
      </c>
      <c r="D21" s="164"/>
    </row>
    <row r="22" spans="1:4" x14ac:dyDescent="0.25">
      <c r="A22" s="154">
        <v>21</v>
      </c>
      <c r="B22" s="157" t="s">
        <v>663</v>
      </c>
      <c r="C22" s="163" t="s">
        <v>664</v>
      </c>
      <c r="D22" s="164"/>
    </row>
    <row r="23" spans="1:4" x14ac:dyDescent="0.25">
      <c r="A23" s="154">
        <v>22</v>
      </c>
      <c r="B23" s="157" t="s">
        <v>665</v>
      </c>
      <c r="C23" s="163" t="s">
        <v>666</v>
      </c>
      <c r="D23" s="164"/>
    </row>
    <row r="24" spans="1:4" x14ac:dyDescent="0.25">
      <c r="A24" s="154">
        <v>23</v>
      </c>
      <c r="B24" s="157" t="s">
        <v>667</v>
      </c>
      <c r="C24" s="163" t="s">
        <v>668</v>
      </c>
      <c r="D24" s="164"/>
    </row>
    <row r="25" spans="1:4" x14ac:dyDescent="0.25">
      <c r="A25" s="154">
        <v>24</v>
      </c>
      <c r="B25" s="157" t="s">
        <v>669</v>
      </c>
      <c r="C25" s="163" t="s">
        <v>670</v>
      </c>
      <c r="D25" s="164"/>
    </row>
    <row r="26" spans="1:4" x14ac:dyDescent="0.25">
      <c r="A26" s="154">
        <v>25</v>
      </c>
      <c r="B26" s="157" t="s">
        <v>671</v>
      </c>
      <c r="C26" s="163" t="s">
        <v>672</v>
      </c>
      <c r="D26" s="164"/>
    </row>
    <row r="27" spans="1:4" x14ac:dyDescent="0.25">
      <c r="A27" s="154">
        <v>26</v>
      </c>
      <c r="B27" s="157" t="s">
        <v>673</v>
      </c>
      <c r="C27" s="163" t="s">
        <v>674</v>
      </c>
      <c r="D27" s="164"/>
    </row>
    <row r="28" spans="1:4" x14ac:dyDescent="0.25">
      <c r="A28" s="154">
        <v>27</v>
      </c>
      <c r="B28" s="157" t="s">
        <v>675</v>
      </c>
      <c r="C28" s="163" t="s">
        <v>676</v>
      </c>
      <c r="D28" s="164"/>
    </row>
    <row r="29" spans="1:4" x14ac:dyDescent="0.25">
      <c r="A29" s="154">
        <v>28</v>
      </c>
      <c r="B29" s="157" t="s">
        <v>677</v>
      </c>
      <c r="C29" s="163" t="s">
        <v>678</v>
      </c>
      <c r="D29" s="164"/>
    </row>
    <row r="30" spans="1:4" x14ac:dyDescent="0.25">
      <c r="A30" s="154">
        <v>29</v>
      </c>
      <c r="B30" s="157" t="s">
        <v>679</v>
      </c>
      <c r="C30" s="163" t="s">
        <v>680</v>
      </c>
      <c r="D30" s="164"/>
    </row>
    <row r="31" spans="1:4" x14ac:dyDescent="0.25">
      <c r="A31" s="154">
        <v>30</v>
      </c>
      <c r="B31" s="157" t="s">
        <v>681</v>
      </c>
      <c r="C31" s="163" t="s">
        <v>682</v>
      </c>
      <c r="D31" s="164"/>
    </row>
    <row r="32" spans="1:4" x14ac:dyDescent="0.25">
      <c r="A32" s="154">
        <v>31</v>
      </c>
      <c r="B32" s="157" t="s">
        <v>683</v>
      </c>
      <c r="C32" s="163" t="s">
        <v>684</v>
      </c>
      <c r="D32" s="164"/>
    </row>
    <row r="33" spans="1:4" x14ac:dyDescent="0.25">
      <c r="A33" s="154">
        <v>32</v>
      </c>
      <c r="B33" s="157" t="s">
        <v>685</v>
      </c>
      <c r="C33" s="163" t="s">
        <v>686</v>
      </c>
      <c r="D33" s="164"/>
    </row>
    <row r="34" spans="1:4" x14ac:dyDescent="0.25">
      <c r="A34" s="154">
        <v>33</v>
      </c>
      <c r="B34" s="157" t="s">
        <v>687</v>
      </c>
      <c r="C34" s="163" t="s">
        <v>688</v>
      </c>
      <c r="D34" s="164"/>
    </row>
    <row r="35" spans="1:4" x14ac:dyDescent="0.25">
      <c r="A35" s="154">
        <v>34</v>
      </c>
      <c r="B35" s="157" t="s">
        <v>689</v>
      </c>
      <c r="C35" s="163" t="s">
        <v>690</v>
      </c>
      <c r="D35" s="164"/>
    </row>
    <row r="36" spans="1:4" x14ac:dyDescent="0.25">
      <c r="A36" s="154">
        <v>35</v>
      </c>
      <c r="B36" s="157" t="s">
        <v>691</v>
      </c>
      <c r="C36" s="163" t="s">
        <v>692</v>
      </c>
      <c r="D36" s="167" t="s">
        <v>693</v>
      </c>
    </row>
    <row r="37" spans="1:4" x14ac:dyDescent="0.25">
      <c r="A37" s="154">
        <v>36</v>
      </c>
      <c r="B37" s="157" t="s">
        <v>694</v>
      </c>
      <c r="C37" s="163" t="s">
        <v>695</v>
      </c>
      <c r="D37" s="167" t="s">
        <v>696</v>
      </c>
    </row>
    <row r="38" spans="1:4" x14ac:dyDescent="0.25">
      <c r="A38" s="154">
        <v>37</v>
      </c>
      <c r="B38" s="157" t="s">
        <v>697</v>
      </c>
      <c r="C38" s="163" t="s">
        <v>698</v>
      </c>
      <c r="D38" s="167" t="s">
        <v>699</v>
      </c>
    </row>
    <row r="39" spans="1:4" x14ac:dyDescent="0.25">
      <c r="A39" s="154">
        <v>38</v>
      </c>
      <c r="B39" s="157" t="s">
        <v>700</v>
      </c>
      <c r="C39" s="163" t="s">
        <v>701</v>
      </c>
      <c r="D39" s="168"/>
    </row>
    <row r="40" spans="1:4" x14ac:dyDescent="0.25">
      <c r="A40" s="154">
        <v>39</v>
      </c>
      <c r="B40" s="157" t="s">
        <v>702</v>
      </c>
      <c r="C40" s="163" t="s">
        <v>703</v>
      </c>
      <c r="D40" s="168"/>
    </row>
    <row r="41" spans="1:4" x14ac:dyDescent="0.25">
      <c r="A41" s="154">
        <v>40</v>
      </c>
      <c r="B41" s="157" t="s">
        <v>704</v>
      </c>
      <c r="C41" s="163" t="s">
        <v>705</v>
      </c>
      <c r="D41" s="164"/>
    </row>
    <row r="42" spans="1:4" ht="25.5" x14ac:dyDescent="0.25">
      <c r="A42" s="154">
        <v>41</v>
      </c>
      <c r="B42" s="157" t="s">
        <v>706</v>
      </c>
      <c r="C42" s="163" t="s">
        <v>707</v>
      </c>
      <c r="D42" s="164"/>
    </row>
    <row r="43" spans="1:4" x14ac:dyDescent="0.25">
      <c r="A43" s="154">
        <v>42</v>
      </c>
      <c r="B43" s="157" t="s">
        <v>708</v>
      </c>
      <c r="C43" s="163" t="s">
        <v>709</v>
      </c>
      <c r="D43" s="164"/>
    </row>
    <row r="44" spans="1:4" x14ac:dyDescent="0.25">
      <c r="A44" s="154">
        <v>43</v>
      </c>
      <c r="B44" s="157" t="s">
        <v>710</v>
      </c>
      <c r="C44" s="163" t="s">
        <v>711</v>
      </c>
      <c r="D44" s="165"/>
    </row>
    <row r="45" spans="1:4" x14ac:dyDescent="0.25">
      <c r="A45" s="154">
        <v>44</v>
      </c>
      <c r="B45" s="157" t="s">
        <v>712</v>
      </c>
      <c r="C45" s="163" t="s">
        <v>713</v>
      </c>
      <c r="D45" s="164"/>
    </row>
    <row r="46" spans="1:4" x14ac:dyDescent="0.25">
      <c r="A46" s="154">
        <v>45</v>
      </c>
      <c r="B46" s="157" t="s">
        <v>714</v>
      </c>
      <c r="C46" s="163" t="s">
        <v>715</v>
      </c>
      <c r="D46" s="167" t="s">
        <v>693</v>
      </c>
    </row>
    <row r="47" spans="1:4" x14ac:dyDescent="0.25">
      <c r="A47" s="154">
        <v>46</v>
      </c>
      <c r="B47" s="157" t="s">
        <v>716</v>
      </c>
      <c r="C47" s="163" t="s">
        <v>717</v>
      </c>
      <c r="D47" s="167" t="s">
        <v>718</v>
      </c>
    </row>
    <row r="48" spans="1:4" x14ac:dyDescent="0.25">
      <c r="A48" s="154">
        <v>47</v>
      </c>
      <c r="B48" s="157" t="s">
        <v>719</v>
      </c>
      <c r="C48" s="163" t="s">
        <v>720</v>
      </c>
      <c r="D48" s="167" t="s">
        <v>721</v>
      </c>
    </row>
    <row r="49" spans="1:4" x14ac:dyDescent="0.25">
      <c r="A49" s="154">
        <v>48</v>
      </c>
      <c r="B49" s="157" t="s">
        <v>722</v>
      </c>
      <c r="C49" s="163" t="s">
        <v>723</v>
      </c>
      <c r="D49" s="168"/>
    </row>
    <row r="50" spans="1:4" x14ac:dyDescent="0.25">
      <c r="A50" s="154">
        <v>49</v>
      </c>
      <c r="B50" s="157" t="s">
        <v>724</v>
      </c>
      <c r="C50" s="163" t="s">
        <v>725</v>
      </c>
      <c r="D50" s="168"/>
    </row>
    <row r="51" spans="1:4" x14ac:dyDescent="0.25">
      <c r="A51" s="154">
        <v>50</v>
      </c>
      <c r="B51" s="157" t="s">
        <v>726</v>
      </c>
      <c r="C51" s="163" t="s">
        <v>727</v>
      </c>
      <c r="D51" s="168"/>
    </row>
    <row r="52" spans="1:4" x14ac:dyDescent="0.25">
      <c r="A52" s="154">
        <v>51</v>
      </c>
      <c r="B52" s="157" t="s">
        <v>728</v>
      </c>
      <c r="C52" s="163" t="s">
        <v>729</v>
      </c>
      <c r="D52" s="168"/>
    </row>
    <row r="53" spans="1:4" x14ac:dyDescent="0.25">
      <c r="A53" s="154">
        <v>52</v>
      </c>
      <c r="B53" s="157" t="s">
        <v>730</v>
      </c>
      <c r="C53" s="163" t="s">
        <v>731</v>
      </c>
      <c r="D53" s="164"/>
    </row>
    <row r="54" spans="1:4" x14ac:dyDescent="0.25">
      <c r="A54" s="154">
        <v>53</v>
      </c>
      <c r="B54" s="157" t="s">
        <v>732</v>
      </c>
      <c r="C54" s="163" t="s">
        <v>733</v>
      </c>
      <c r="D54" s="164"/>
    </row>
    <row r="55" spans="1:4" x14ac:dyDescent="0.25">
      <c r="A55" s="154">
        <v>54</v>
      </c>
      <c r="B55" s="157" t="s">
        <v>734</v>
      </c>
      <c r="C55" s="163" t="s">
        <v>735</v>
      </c>
      <c r="D55" s="164"/>
    </row>
    <row r="56" spans="1:4" x14ac:dyDescent="0.25">
      <c r="A56" s="154">
        <v>55</v>
      </c>
      <c r="B56" s="157" t="s">
        <v>736</v>
      </c>
      <c r="C56" s="163" t="s">
        <v>737</v>
      </c>
      <c r="D56" s="164"/>
    </row>
    <row r="57" spans="1:4" x14ac:dyDescent="0.25">
      <c r="A57" s="154">
        <v>56</v>
      </c>
      <c r="B57" s="157" t="s">
        <v>738</v>
      </c>
      <c r="C57" s="163" t="s">
        <v>739</v>
      </c>
      <c r="D57" s="164"/>
    </row>
    <row r="58" spans="1:4" x14ac:dyDescent="0.25">
      <c r="A58" s="154">
        <v>57</v>
      </c>
      <c r="B58" s="157" t="s">
        <v>740</v>
      </c>
      <c r="C58" s="163" t="s">
        <v>741</v>
      </c>
      <c r="D58" s="164"/>
    </row>
    <row r="59" spans="1:4" x14ac:dyDescent="0.25">
      <c r="A59" s="154">
        <v>58</v>
      </c>
      <c r="B59" s="157" t="s">
        <v>742</v>
      </c>
      <c r="C59" s="163" t="s">
        <v>743</v>
      </c>
      <c r="D59" s="164"/>
    </row>
    <row r="60" spans="1:4" x14ac:dyDescent="0.25">
      <c r="A60" s="154">
        <v>59</v>
      </c>
      <c r="B60" s="157" t="s">
        <v>744</v>
      </c>
      <c r="C60" s="163" t="s">
        <v>745</v>
      </c>
      <c r="D60" s="164"/>
    </row>
    <row r="61" spans="1:4" x14ac:dyDescent="0.25">
      <c r="A61" s="154">
        <v>60</v>
      </c>
      <c r="B61" s="157" t="s">
        <v>746</v>
      </c>
      <c r="C61" s="163" t="s">
        <v>747</v>
      </c>
      <c r="D61" s="164"/>
    </row>
    <row r="62" spans="1:4" x14ac:dyDescent="0.25">
      <c r="A62" s="154">
        <v>61</v>
      </c>
      <c r="B62" s="157" t="s">
        <v>748</v>
      </c>
      <c r="C62" s="163" t="s">
        <v>749</v>
      </c>
      <c r="D62" s="164"/>
    </row>
    <row r="63" spans="1:4" x14ac:dyDescent="0.25">
      <c r="A63" s="154">
        <v>62</v>
      </c>
      <c r="B63" s="157" t="s">
        <v>750</v>
      </c>
      <c r="C63" s="163" t="s">
        <v>751</v>
      </c>
      <c r="D63" s="164"/>
    </row>
    <row r="64" spans="1:4" x14ac:dyDescent="0.25">
      <c r="A64" s="154">
        <v>63</v>
      </c>
      <c r="B64" s="157" t="s">
        <v>752</v>
      </c>
      <c r="C64" s="163" t="s">
        <v>753</v>
      </c>
      <c r="D64" s="164"/>
    </row>
    <row r="65" spans="1:4" x14ac:dyDescent="0.25">
      <c r="A65" s="154">
        <v>64</v>
      </c>
      <c r="B65" s="157" t="s">
        <v>754</v>
      </c>
      <c r="C65" s="163" t="s">
        <v>755</v>
      </c>
      <c r="D65" s="164"/>
    </row>
    <row r="66" spans="1:4" x14ac:dyDescent="0.25">
      <c r="A66" s="154">
        <v>65</v>
      </c>
      <c r="B66" s="157" t="s">
        <v>756</v>
      </c>
      <c r="C66" s="163" t="s">
        <v>757</v>
      </c>
      <c r="D66" s="167" t="s">
        <v>758</v>
      </c>
    </row>
    <row r="67" spans="1:4" x14ac:dyDescent="0.25">
      <c r="A67" s="154">
        <v>66</v>
      </c>
      <c r="B67" s="157" t="s">
        <v>759</v>
      </c>
      <c r="C67" s="163" t="s">
        <v>760</v>
      </c>
      <c r="D67" s="167" t="s">
        <v>761</v>
      </c>
    </row>
    <row r="68" spans="1:4" x14ac:dyDescent="0.25">
      <c r="A68" s="154">
        <v>67</v>
      </c>
      <c r="B68" s="157" t="s">
        <v>762</v>
      </c>
      <c r="C68" s="163" t="s">
        <v>763</v>
      </c>
      <c r="D68" s="168"/>
    </row>
    <row r="69" spans="1:4" x14ac:dyDescent="0.25">
      <c r="A69" s="154">
        <v>68</v>
      </c>
      <c r="B69" s="157" t="s">
        <v>764</v>
      </c>
      <c r="C69" s="163" t="s">
        <v>765</v>
      </c>
      <c r="D69" s="168"/>
    </row>
    <row r="70" spans="1:4" x14ac:dyDescent="0.25">
      <c r="A70" s="154">
        <v>69</v>
      </c>
      <c r="B70" s="157" t="s">
        <v>766</v>
      </c>
      <c r="C70" s="163" t="s">
        <v>767</v>
      </c>
      <c r="D70" s="164"/>
    </row>
    <row r="71" spans="1:4" x14ac:dyDescent="0.25">
      <c r="A71" s="154">
        <v>70</v>
      </c>
      <c r="B71" s="157" t="s">
        <v>768</v>
      </c>
      <c r="C71" s="163" t="s">
        <v>769</v>
      </c>
      <c r="D71" s="164"/>
    </row>
    <row r="72" spans="1:4" x14ac:dyDescent="0.25">
      <c r="A72" s="154">
        <v>71</v>
      </c>
      <c r="B72" s="157" t="s">
        <v>770</v>
      </c>
      <c r="C72" s="163" t="s">
        <v>771</v>
      </c>
      <c r="D72" s="164"/>
    </row>
    <row r="73" spans="1:4" x14ac:dyDescent="0.25">
      <c r="A73" s="154">
        <v>72</v>
      </c>
      <c r="B73" s="157" t="s">
        <v>772</v>
      </c>
      <c r="C73" s="163" t="s">
        <v>773</v>
      </c>
      <c r="D73" s="164"/>
    </row>
    <row r="74" spans="1:4" ht="25.5" x14ac:dyDescent="0.25">
      <c r="A74" s="154">
        <v>73</v>
      </c>
      <c r="B74" s="157" t="s">
        <v>774</v>
      </c>
      <c r="C74" s="163" t="s">
        <v>775</v>
      </c>
      <c r="D74" s="167" t="s">
        <v>776</v>
      </c>
    </row>
    <row r="75" spans="1:4" x14ac:dyDescent="0.25">
      <c r="A75" s="154">
        <v>74</v>
      </c>
      <c r="B75" s="157" t="s">
        <v>777</v>
      </c>
      <c r="C75" s="163" t="s">
        <v>778</v>
      </c>
      <c r="D75" s="167" t="s">
        <v>779</v>
      </c>
    </row>
    <row r="76" spans="1:4" x14ac:dyDescent="0.25">
      <c r="A76" s="154">
        <v>75</v>
      </c>
      <c r="B76" s="157" t="s">
        <v>780</v>
      </c>
      <c r="C76" s="163" t="s">
        <v>781</v>
      </c>
      <c r="D76" s="168"/>
    </row>
    <row r="77" spans="1:4" x14ac:dyDescent="0.25">
      <c r="A77" s="154">
        <v>76</v>
      </c>
      <c r="B77" s="157" t="s">
        <v>782</v>
      </c>
      <c r="C77" s="163" t="s">
        <v>783</v>
      </c>
      <c r="D77" s="168"/>
    </row>
    <row r="78" spans="1:4" x14ac:dyDescent="0.25">
      <c r="A78" s="154">
        <v>77</v>
      </c>
      <c r="B78" s="157" t="s">
        <v>784</v>
      </c>
      <c r="C78" s="163" t="s">
        <v>785</v>
      </c>
      <c r="D78" s="168"/>
    </row>
    <row r="79" spans="1:4" x14ac:dyDescent="0.25">
      <c r="A79" s="154">
        <v>78</v>
      </c>
      <c r="B79" s="157" t="s">
        <v>786</v>
      </c>
      <c r="C79" s="163" t="s">
        <v>787</v>
      </c>
      <c r="D79" s="168"/>
    </row>
    <row r="80" spans="1:4" x14ac:dyDescent="0.25">
      <c r="A80" s="154">
        <v>79</v>
      </c>
      <c r="B80" s="157" t="s">
        <v>788</v>
      </c>
      <c r="C80" s="163" t="s">
        <v>789</v>
      </c>
      <c r="D80" s="164"/>
    </row>
    <row r="81" spans="1:4" x14ac:dyDescent="0.25">
      <c r="A81" s="154">
        <v>80</v>
      </c>
      <c r="B81" s="157" t="s">
        <v>790</v>
      </c>
      <c r="C81" s="163" t="s">
        <v>791</v>
      </c>
      <c r="D81" s="164"/>
    </row>
    <row r="82" spans="1:4" x14ac:dyDescent="0.25">
      <c r="A82" s="154">
        <v>81</v>
      </c>
      <c r="B82" s="157" t="s">
        <v>792</v>
      </c>
      <c r="C82" s="163" t="s">
        <v>793</v>
      </c>
      <c r="D82" s="164"/>
    </row>
    <row r="83" spans="1:4" x14ac:dyDescent="0.25">
      <c r="A83" s="154">
        <v>82</v>
      </c>
      <c r="B83" s="157" t="s">
        <v>794</v>
      </c>
      <c r="C83" s="163" t="s">
        <v>795</v>
      </c>
      <c r="D83" s="164"/>
    </row>
    <row r="84" spans="1:4" x14ac:dyDescent="0.25">
      <c r="A84" s="154">
        <v>83</v>
      </c>
      <c r="B84" s="157" t="s">
        <v>796</v>
      </c>
      <c r="C84" s="163" t="s">
        <v>797</v>
      </c>
      <c r="D84" s="164"/>
    </row>
    <row r="85" spans="1:4" x14ac:dyDescent="0.25">
      <c r="A85" s="154">
        <v>84</v>
      </c>
      <c r="B85" s="157" t="s">
        <v>798</v>
      </c>
      <c r="C85" s="163" t="s">
        <v>799</v>
      </c>
      <c r="D85" s="164"/>
    </row>
    <row r="86" spans="1:4" x14ac:dyDescent="0.25">
      <c r="A86" s="154">
        <v>85</v>
      </c>
      <c r="B86" s="157" t="s">
        <v>800</v>
      </c>
      <c r="C86" s="163" t="s">
        <v>801</v>
      </c>
      <c r="D86" s="164"/>
    </row>
    <row r="87" spans="1:4" x14ac:dyDescent="0.25">
      <c r="A87" s="154">
        <v>86</v>
      </c>
      <c r="B87" s="157" t="s">
        <v>802</v>
      </c>
      <c r="C87" s="163" t="s">
        <v>803</v>
      </c>
      <c r="D87" s="164"/>
    </row>
    <row r="88" spans="1:4" x14ac:dyDescent="0.25">
      <c r="A88" s="154">
        <v>87</v>
      </c>
      <c r="B88" s="157" t="s">
        <v>804</v>
      </c>
      <c r="C88" s="163" t="s">
        <v>805</v>
      </c>
      <c r="D88" s="164"/>
    </row>
    <row r="89" spans="1:4" x14ac:dyDescent="0.25">
      <c r="A89" s="154">
        <v>88</v>
      </c>
      <c r="B89" s="157" t="s">
        <v>806</v>
      </c>
      <c r="C89" s="163" t="s">
        <v>807</v>
      </c>
      <c r="D89" s="167" t="s">
        <v>808</v>
      </c>
    </row>
    <row r="90" spans="1:4" x14ac:dyDescent="0.25">
      <c r="A90" s="154">
        <v>89</v>
      </c>
      <c r="B90" s="157" t="s">
        <v>809</v>
      </c>
      <c r="C90" s="163" t="s">
        <v>810</v>
      </c>
      <c r="D90" s="170" t="s">
        <v>811</v>
      </c>
    </row>
    <row r="91" spans="1:4" x14ac:dyDescent="0.25">
      <c r="A91" s="154">
        <v>90</v>
      </c>
      <c r="B91" s="157" t="s">
        <v>812</v>
      </c>
      <c r="C91" s="163" t="s">
        <v>813</v>
      </c>
      <c r="D91" s="168"/>
    </row>
    <row r="92" spans="1:4" x14ac:dyDescent="0.25">
      <c r="A92" s="154">
        <v>91</v>
      </c>
      <c r="B92" s="341" t="s">
        <v>814</v>
      </c>
      <c r="C92" s="341" t="s">
        <v>815</v>
      </c>
      <c r="D92" s="164"/>
    </row>
    <row r="93" spans="1:4" x14ac:dyDescent="0.25">
      <c r="A93" s="154">
        <v>92</v>
      </c>
      <c r="B93" s="341"/>
      <c r="C93" s="341"/>
      <c r="D93" s="164"/>
    </row>
    <row r="94" spans="1:4" x14ac:dyDescent="0.25">
      <c r="A94" s="154">
        <v>93</v>
      </c>
      <c r="B94" s="157" t="s">
        <v>816</v>
      </c>
      <c r="C94" s="163" t="s">
        <v>817</v>
      </c>
      <c r="D94" s="164"/>
    </row>
    <row r="95" spans="1:4" x14ac:dyDescent="0.25">
      <c r="A95" s="154">
        <v>94</v>
      </c>
      <c r="B95" s="157" t="s">
        <v>818</v>
      </c>
      <c r="C95" s="163" t="s">
        <v>819</v>
      </c>
      <c r="D95" s="164"/>
    </row>
    <row r="96" spans="1:4" x14ac:dyDescent="0.25">
      <c r="A96" s="154">
        <v>95</v>
      </c>
      <c r="B96" s="157" t="s">
        <v>820</v>
      </c>
      <c r="C96" s="163" t="s">
        <v>821</v>
      </c>
      <c r="D96" s="164"/>
    </row>
    <row r="97" spans="1:4" x14ac:dyDescent="0.25">
      <c r="A97" s="154">
        <v>96</v>
      </c>
      <c r="B97" s="157" t="s">
        <v>822</v>
      </c>
      <c r="C97" s="163" t="s">
        <v>823</v>
      </c>
      <c r="D97" s="164"/>
    </row>
    <row r="98" spans="1:4" x14ac:dyDescent="0.25">
      <c r="A98" s="154">
        <v>97</v>
      </c>
      <c r="B98" s="157" t="s">
        <v>824</v>
      </c>
      <c r="C98" s="163" t="s">
        <v>825</v>
      </c>
      <c r="D98" s="167" t="s">
        <v>826</v>
      </c>
    </row>
    <row r="99" spans="1:4" x14ac:dyDescent="0.25">
      <c r="A99" s="154">
        <v>98</v>
      </c>
      <c r="B99" s="157" t="s">
        <v>827</v>
      </c>
      <c r="C99" s="163" t="s">
        <v>828</v>
      </c>
      <c r="D99" s="167" t="s">
        <v>829</v>
      </c>
    </row>
    <row r="100" spans="1:4" x14ac:dyDescent="0.25">
      <c r="A100" s="154">
        <v>99</v>
      </c>
      <c r="B100" s="157" t="s">
        <v>830</v>
      </c>
      <c r="C100" s="163" t="s">
        <v>831</v>
      </c>
      <c r="D100" s="164"/>
    </row>
    <row r="101" spans="1:4" x14ac:dyDescent="0.25">
      <c r="A101" s="154">
        <v>100</v>
      </c>
      <c r="B101" s="157" t="s">
        <v>832</v>
      </c>
      <c r="C101" s="163" t="s">
        <v>833</v>
      </c>
      <c r="D101" s="167" t="s">
        <v>834</v>
      </c>
    </row>
    <row r="102" spans="1:4" x14ac:dyDescent="0.25">
      <c r="A102" s="154">
        <v>101</v>
      </c>
      <c r="B102" s="157" t="s">
        <v>835</v>
      </c>
      <c r="C102" s="163" t="s">
        <v>836</v>
      </c>
      <c r="D102" s="167" t="s">
        <v>837</v>
      </c>
    </row>
    <row r="103" spans="1:4" x14ac:dyDescent="0.25">
      <c r="A103" s="154">
        <v>102</v>
      </c>
      <c r="B103" s="157" t="s">
        <v>838</v>
      </c>
      <c r="C103" s="163" t="s">
        <v>839</v>
      </c>
      <c r="D103" s="168"/>
    </row>
    <row r="104" spans="1:4" x14ac:dyDescent="0.25">
      <c r="A104" s="154">
        <v>103</v>
      </c>
      <c r="B104" s="157" t="s">
        <v>840</v>
      </c>
      <c r="C104" s="163" t="s">
        <v>841</v>
      </c>
      <c r="D104" s="168"/>
    </row>
  </sheetData>
  <mergeCells count="2">
    <mergeCell ref="B92:B93"/>
    <mergeCell ref="C92:C9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3</vt:i4>
      </vt:variant>
    </vt:vector>
  </HeadingPairs>
  <TitlesOfParts>
    <vt:vector size="11" baseType="lpstr">
      <vt:lpstr>Home</vt:lpstr>
      <vt:lpstr>ES Forms</vt:lpstr>
      <vt:lpstr>ES Diversos</vt:lpstr>
      <vt:lpstr> Matriz Base</vt:lpstr>
      <vt:lpstr>Matriz PSP</vt:lpstr>
      <vt:lpstr>Base Forms</vt:lpstr>
      <vt:lpstr>Base PSP</vt:lpstr>
      <vt:lpstr>Base Enderecos</vt:lpstr>
      <vt:lpstr>'ES Diversos'!Area_de_impressao</vt:lpstr>
      <vt:lpstr>'ES Forms'!Area_de_impressao</vt:lpstr>
      <vt:lpstr>'Base PSP'!Titulos_de_impressao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CARLOS DE MENEZES</dc:creator>
  <cp:lastModifiedBy>ALEXANDRE NOBUHARU SATO</cp:lastModifiedBy>
  <cp:lastPrinted>2022-09-19T19:41:08Z</cp:lastPrinted>
  <dcterms:created xsi:type="dcterms:W3CDTF">2022-09-02T11:48:23Z</dcterms:created>
  <dcterms:modified xsi:type="dcterms:W3CDTF">2022-09-21T19:00:07Z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dacbe4c-d86b-4fdf-b39b-4dab29bccff1_Enabled">
    <vt:lpwstr>true</vt:lpwstr>
  </property>
  <property fmtid="{D5CDD505-2E9C-101B-9397-08002B2CF9AE}" pid="3" name="MSIP_Label_7dacbe4c-d86b-4fdf-b39b-4dab29bccff1_SetDate">
    <vt:lpwstr>2022-09-02T11:47:35Z</vt:lpwstr>
  </property>
  <property fmtid="{D5CDD505-2E9C-101B-9397-08002B2CF9AE}" pid="4" name="MSIP_Label_7dacbe4c-d86b-4fdf-b39b-4dab29bccff1_Method">
    <vt:lpwstr>Privileged</vt:lpwstr>
  </property>
  <property fmtid="{D5CDD505-2E9C-101B-9397-08002B2CF9AE}" pid="5" name="MSIP_Label_7dacbe4c-d86b-4fdf-b39b-4dab29bccff1_Name">
    <vt:lpwstr>Pública</vt:lpwstr>
  </property>
  <property fmtid="{D5CDD505-2E9C-101B-9397-08002B2CF9AE}" pid="6" name="MSIP_Label_7dacbe4c-d86b-4fdf-b39b-4dab29bccff1_SiteId">
    <vt:lpwstr>623b0f62-ff86-487b-ae99-9b20f75d41fb</vt:lpwstr>
  </property>
  <property fmtid="{D5CDD505-2E9C-101B-9397-08002B2CF9AE}" pid="7" name="MSIP_Label_7dacbe4c-d86b-4fdf-b39b-4dab29bccff1_ActionId">
    <vt:lpwstr>97511c54-1f55-4ec5-a8fd-87350a08a662</vt:lpwstr>
  </property>
  <property fmtid="{D5CDD505-2E9C-101B-9397-08002B2CF9AE}" pid="8" name="MSIP_Label_7dacbe4c-d86b-4fdf-b39b-4dab29bccff1_ContentBits">
    <vt:lpwstr>0</vt:lpwstr>
  </property>
</Properties>
</file>